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aleedu-my.sharepoint.com/personal/ben_mead_yale_edu/Documents/CAD Files/MENG2147CacheCAD/"/>
    </mc:Choice>
  </mc:AlternateContent>
  <xr:revisionPtr revIDLastSave="182" documentId="8_{7491B36C-3BA5-4976-99B9-A0DD45B21A14}" xr6:coauthVersionLast="47" xr6:coauthVersionMax="47" xr10:uidLastSave="{ECC8AADF-8448-4C14-9256-4711C8FE0BB3}"/>
  <bookViews>
    <workbookView xWindow="-108" yWindow="-108" windowWidth="23256" windowHeight="13896" activeTab="3" xr2:uid="{315B25DE-2A4F-4592-8D40-C18A60F51DDB}"/>
  </bookViews>
  <sheets>
    <sheet name="X-Coordinate" sheetId="2" r:id="rId1"/>
    <sheet name="Height vs Time" sheetId="4" r:id="rId2"/>
    <sheet name="Z-Coordinate" sheetId="6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1" l="1"/>
  <c r="Y5" i="1"/>
  <c r="Z5" i="1"/>
  <c r="X6" i="1"/>
  <c r="Y6" i="1"/>
  <c r="Z6" i="1"/>
  <c r="X7" i="1"/>
  <c r="Y7" i="1"/>
  <c r="Z7" i="1"/>
  <c r="X8" i="1"/>
  <c r="Y8" i="1"/>
  <c r="Z8" i="1"/>
  <c r="X9" i="1"/>
  <c r="Y9" i="1"/>
  <c r="Z9" i="1"/>
  <c r="X10" i="1"/>
  <c r="Y10" i="1"/>
  <c r="Z10" i="1"/>
  <c r="X11" i="1"/>
  <c r="Y11" i="1"/>
  <c r="Z11" i="1"/>
  <c r="X12" i="1"/>
  <c r="Y12" i="1"/>
  <c r="Z12" i="1"/>
  <c r="X13" i="1"/>
  <c r="Y13" i="1"/>
  <c r="Z13" i="1"/>
  <c r="X14" i="1"/>
  <c r="Y14" i="1"/>
  <c r="Z14" i="1"/>
  <c r="X15" i="1"/>
  <c r="Y15" i="1"/>
  <c r="Z15" i="1"/>
  <c r="X16" i="1"/>
  <c r="Y16" i="1"/>
  <c r="Z16" i="1"/>
  <c r="X17" i="1"/>
  <c r="Y17" i="1"/>
  <c r="Z17" i="1"/>
  <c r="X18" i="1"/>
  <c r="Y18" i="1"/>
  <c r="Z18" i="1"/>
  <c r="X19" i="1"/>
  <c r="Y19" i="1"/>
  <c r="Z19" i="1"/>
  <c r="X20" i="1"/>
  <c r="Y20" i="1"/>
  <c r="Z20" i="1"/>
  <c r="X21" i="1"/>
  <c r="Y21" i="1"/>
  <c r="Z21" i="1"/>
  <c r="X22" i="1"/>
  <c r="Y22" i="1"/>
  <c r="Z22" i="1"/>
  <c r="X23" i="1"/>
  <c r="Y23" i="1"/>
  <c r="Z23" i="1"/>
  <c r="X24" i="1"/>
  <c r="Y24" i="1"/>
  <c r="Z24" i="1"/>
  <c r="X25" i="1"/>
  <c r="Y25" i="1"/>
  <c r="Z25" i="1"/>
  <c r="X26" i="1"/>
  <c r="Y26" i="1"/>
  <c r="Z26" i="1"/>
  <c r="X27" i="1"/>
  <c r="Y27" i="1"/>
  <c r="Z27" i="1"/>
  <c r="X28" i="1"/>
  <c r="Y28" i="1"/>
  <c r="Z28" i="1"/>
  <c r="X29" i="1"/>
  <c r="Y29" i="1"/>
  <c r="Z29" i="1"/>
  <c r="X30" i="1"/>
  <c r="Y30" i="1"/>
  <c r="Z30" i="1"/>
  <c r="X31" i="1"/>
  <c r="Y31" i="1"/>
  <c r="Z31" i="1"/>
  <c r="X32" i="1"/>
  <c r="Y32" i="1"/>
  <c r="Z32" i="1"/>
  <c r="X33" i="1"/>
  <c r="Y33" i="1"/>
  <c r="Z33" i="1"/>
  <c r="X34" i="1"/>
  <c r="Y34" i="1"/>
  <c r="Z34" i="1"/>
  <c r="X35" i="1"/>
  <c r="Y35" i="1"/>
  <c r="Z35" i="1"/>
  <c r="X36" i="1"/>
  <c r="Y36" i="1"/>
  <c r="Z36" i="1"/>
  <c r="X37" i="1"/>
  <c r="Y37" i="1"/>
  <c r="Z37" i="1"/>
  <c r="X38" i="1"/>
  <c r="Y38" i="1"/>
  <c r="Z38" i="1"/>
  <c r="X39" i="1"/>
  <c r="Y39" i="1"/>
  <c r="Z39" i="1"/>
  <c r="X40" i="1"/>
  <c r="Y40" i="1"/>
  <c r="Z40" i="1"/>
  <c r="X41" i="1"/>
  <c r="Y41" i="1"/>
  <c r="Z41" i="1"/>
  <c r="X42" i="1"/>
  <c r="Y42" i="1"/>
  <c r="Z42" i="1"/>
  <c r="X43" i="1"/>
  <c r="Y43" i="1"/>
  <c r="Z43" i="1"/>
  <c r="X44" i="1"/>
  <c r="Y44" i="1"/>
  <c r="Z44" i="1"/>
  <c r="X45" i="1"/>
  <c r="Y45" i="1"/>
  <c r="Z45" i="1"/>
  <c r="X46" i="1"/>
  <c r="Y46" i="1"/>
  <c r="Z46" i="1"/>
  <c r="X47" i="1"/>
  <c r="Y47" i="1"/>
  <c r="Z47" i="1"/>
  <c r="X48" i="1"/>
  <c r="Y48" i="1"/>
  <c r="Z48" i="1"/>
  <c r="X49" i="1"/>
  <c r="Y49" i="1"/>
  <c r="Z49" i="1"/>
  <c r="X50" i="1"/>
  <c r="Y50" i="1"/>
  <c r="Z50" i="1"/>
  <c r="X51" i="1"/>
  <c r="Y51" i="1"/>
  <c r="Z51" i="1"/>
  <c r="X52" i="1"/>
  <c r="Y52" i="1"/>
  <c r="Z52" i="1"/>
  <c r="X53" i="1"/>
  <c r="Y53" i="1"/>
  <c r="Z53" i="1"/>
  <c r="X54" i="1"/>
  <c r="Y54" i="1"/>
  <c r="Z54" i="1"/>
  <c r="X55" i="1"/>
  <c r="Y55" i="1"/>
  <c r="Z55" i="1"/>
  <c r="X56" i="1"/>
  <c r="Y56" i="1"/>
  <c r="Z56" i="1"/>
  <c r="X57" i="1"/>
  <c r="Y57" i="1"/>
  <c r="Z57" i="1"/>
  <c r="X58" i="1"/>
  <c r="Y58" i="1"/>
  <c r="Z58" i="1"/>
  <c r="X59" i="1"/>
  <c r="Y59" i="1"/>
  <c r="Z59" i="1"/>
  <c r="X60" i="1"/>
  <c r="Y60" i="1"/>
  <c r="Z60" i="1"/>
  <c r="X61" i="1"/>
  <c r="Y61" i="1"/>
  <c r="Z61" i="1"/>
  <c r="X62" i="1"/>
  <c r="Y62" i="1"/>
  <c r="Z62" i="1"/>
  <c r="X63" i="1"/>
  <c r="Y63" i="1"/>
  <c r="Z63" i="1"/>
  <c r="X64" i="1"/>
  <c r="Y64" i="1"/>
  <c r="Z64" i="1"/>
  <c r="X65" i="1"/>
  <c r="Y65" i="1"/>
  <c r="Z65" i="1"/>
  <c r="X66" i="1"/>
  <c r="Y66" i="1"/>
  <c r="Z66" i="1"/>
  <c r="X67" i="1"/>
  <c r="Y67" i="1"/>
  <c r="Z67" i="1"/>
  <c r="X68" i="1"/>
  <c r="Y68" i="1"/>
  <c r="Z68" i="1"/>
  <c r="X69" i="1"/>
  <c r="Y69" i="1"/>
  <c r="Z69" i="1"/>
  <c r="X70" i="1"/>
  <c r="Y70" i="1"/>
  <c r="Z70" i="1"/>
  <c r="X71" i="1"/>
  <c r="Y71" i="1"/>
  <c r="Z71" i="1"/>
  <c r="X72" i="1"/>
  <c r="Y72" i="1"/>
  <c r="Z72" i="1"/>
  <c r="X73" i="1"/>
  <c r="Y73" i="1"/>
  <c r="Z73" i="1"/>
  <c r="X74" i="1"/>
  <c r="Y74" i="1"/>
  <c r="Z74" i="1"/>
  <c r="X75" i="1"/>
  <c r="Y75" i="1"/>
  <c r="Z75" i="1"/>
  <c r="X76" i="1"/>
  <c r="Y76" i="1"/>
  <c r="Z76" i="1"/>
  <c r="X77" i="1"/>
  <c r="Y77" i="1"/>
  <c r="Z77" i="1"/>
  <c r="X78" i="1"/>
  <c r="Y78" i="1"/>
  <c r="Z78" i="1"/>
  <c r="X79" i="1"/>
  <c r="Y79" i="1"/>
  <c r="Z79" i="1"/>
  <c r="X80" i="1"/>
  <c r="Y80" i="1"/>
  <c r="Z80" i="1"/>
  <c r="X81" i="1"/>
  <c r="Y81" i="1"/>
  <c r="Z81" i="1"/>
  <c r="X82" i="1"/>
  <c r="Y82" i="1"/>
  <c r="Z82" i="1"/>
  <c r="X83" i="1"/>
  <c r="Y83" i="1"/>
  <c r="Z83" i="1"/>
  <c r="X84" i="1"/>
  <c r="Y84" i="1"/>
  <c r="Z84" i="1"/>
  <c r="X85" i="1"/>
  <c r="Y85" i="1"/>
  <c r="Z85" i="1"/>
  <c r="X86" i="1"/>
  <c r="Y86" i="1"/>
  <c r="Z86" i="1"/>
  <c r="X87" i="1"/>
  <c r="Y87" i="1"/>
  <c r="Z87" i="1"/>
  <c r="X88" i="1"/>
  <c r="Y88" i="1"/>
  <c r="Z88" i="1"/>
  <c r="X89" i="1"/>
  <c r="Y89" i="1"/>
  <c r="Z89" i="1"/>
  <c r="X90" i="1"/>
  <c r="Y90" i="1"/>
  <c r="Z90" i="1"/>
  <c r="X91" i="1"/>
  <c r="Y91" i="1"/>
  <c r="Z91" i="1"/>
  <c r="X92" i="1"/>
  <c r="Y92" i="1"/>
  <c r="Z92" i="1"/>
  <c r="X93" i="1"/>
  <c r="Y93" i="1"/>
  <c r="Z93" i="1"/>
  <c r="X94" i="1"/>
  <c r="Y94" i="1"/>
  <c r="Z94" i="1"/>
  <c r="X95" i="1"/>
  <c r="Y95" i="1"/>
  <c r="Z95" i="1"/>
  <c r="X96" i="1"/>
  <c r="Y96" i="1"/>
  <c r="Z96" i="1"/>
  <c r="X97" i="1"/>
  <c r="Y97" i="1"/>
  <c r="Z97" i="1"/>
  <c r="X98" i="1"/>
  <c r="Y98" i="1"/>
  <c r="Z98" i="1"/>
  <c r="X99" i="1"/>
  <c r="Y99" i="1"/>
  <c r="Z99" i="1"/>
  <c r="X100" i="1"/>
  <c r="Y100" i="1"/>
  <c r="Z100" i="1"/>
  <c r="X101" i="1"/>
  <c r="Y101" i="1"/>
  <c r="Z101" i="1"/>
  <c r="X102" i="1"/>
  <c r="Y102" i="1"/>
  <c r="Z102" i="1"/>
  <c r="X103" i="1"/>
  <c r="Y103" i="1"/>
  <c r="Z103" i="1"/>
  <c r="X104" i="1"/>
  <c r="Y104" i="1"/>
  <c r="Z104" i="1"/>
  <c r="X105" i="1"/>
  <c r="Y105" i="1"/>
  <c r="Z105" i="1"/>
  <c r="X106" i="1"/>
  <c r="Y106" i="1"/>
  <c r="Z106" i="1"/>
  <c r="X107" i="1"/>
  <c r="Y107" i="1"/>
  <c r="Z107" i="1"/>
  <c r="X108" i="1"/>
  <c r="Y108" i="1"/>
  <c r="Z108" i="1"/>
  <c r="X109" i="1"/>
  <c r="Y109" i="1"/>
  <c r="Z109" i="1"/>
  <c r="X110" i="1"/>
  <c r="Y110" i="1"/>
  <c r="Z110" i="1"/>
  <c r="X111" i="1"/>
  <c r="Y111" i="1"/>
  <c r="Z111" i="1"/>
  <c r="X112" i="1"/>
  <c r="Y112" i="1"/>
  <c r="Z112" i="1"/>
  <c r="X113" i="1"/>
  <c r="Y113" i="1"/>
  <c r="Z113" i="1"/>
  <c r="X114" i="1"/>
  <c r="Y114" i="1"/>
  <c r="Z114" i="1"/>
  <c r="X115" i="1"/>
  <c r="Y115" i="1"/>
  <c r="Z115" i="1"/>
  <c r="X116" i="1"/>
  <c r="Y116" i="1"/>
  <c r="Z116" i="1"/>
  <c r="X117" i="1"/>
  <c r="Y117" i="1"/>
  <c r="Z117" i="1"/>
  <c r="X118" i="1"/>
  <c r="Y118" i="1"/>
  <c r="Z118" i="1"/>
  <c r="X119" i="1"/>
  <c r="Y119" i="1"/>
  <c r="Z119" i="1"/>
  <c r="X120" i="1"/>
  <c r="Y120" i="1"/>
  <c r="Z120" i="1"/>
  <c r="X121" i="1"/>
  <c r="Y121" i="1"/>
  <c r="Z121" i="1"/>
  <c r="X122" i="1"/>
  <c r="Y122" i="1"/>
  <c r="Z122" i="1"/>
  <c r="X123" i="1"/>
  <c r="Y123" i="1"/>
  <c r="Z123" i="1"/>
  <c r="X124" i="1"/>
  <c r="Y124" i="1"/>
  <c r="Z124" i="1"/>
  <c r="X125" i="1"/>
  <c r="Y125" i="1"/>
  <c r="Z125" i="1"/>
  <c r="X126" i="1"/>
  <c r="Y126" i="1"/>
  <c r="Z126" i="1"/>
  <c r="X127" i="1"/>
  <c r="Y127" i="1"/>
  <c r="Z127" i="1"/>
  <c r="X128" i="1"/>
  <c r="Y128" i="1"/>
  <c r="Z128" i="1"/>
  <c r="X129" i="1"/>
  <c r="Y129" i="1"/>
  <c r="Z129" i="1"/>
  <c r="X130" i="1"/>
  <c r="Y130" i="1"/>
  <c r="Z130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5" i="1"/>
  <c r="L6" i="1"/>
  <c r="P6" i="1" s="1"/>
  <c r="L7" i="1"/>
  <c r="L8" i="1"/>
  <c r="L9" i="1"/>
  <c r="L10" i="1"/>
  <c r="P10" i="1" s="1"/>
  <c r="L11" i="1"/>
  <c r="P11" i="1" s="1"/>
  <c r="L12" i="1"/>
  <c r="L13" i="1"/>
  <c r="P13" i="1" s="1"/>
  <c r="L14" i="1"/>
  <c r="P14" i="1" s="1"/>
  <c r="L15" i="1"/>
  <c r="L16" i="1"/>
  <c r="P16" i="1" s="1"/>
  <c r="L17" i="1"/>
  <c r="P17" i="1" s="1"/>
  <c r="L18" i="1"/>
  <c r="L19" i="1"/>
  <c r="L20" i="1"/>
  <c r="L21" i="1"/>
  <c r="L22" i="1"/>
  <c r="L23" i="1"/>
  <c r="L24" i="1"/>
  <c r="P24" i="1" s="1"/>
  <c r="L25" i="1"/>
  <c r="P25" i="1" s="1"/>
  <c r="L26" i="1"/>
  <c r="P26" i="1" s="1"/>
  <c r="L27" i="1"/>
  <c r="L28" i="1"/>
  <c r="P28" i="1" s="1"/>
  <c r="L29" i="1"/>
  <c r="P29" i="1" s="1"/>
  <c r="L30" i="1"/>
  <c r="P30" i="1" s="1"/>
  <c r="L31" i="1"/>
  <c r="L32" i="1"/>
  <c r="L33" i="1"/>
  <c r="L34" i="1"/>
  <c r="P34" i="1" s="1"/>
  <c r="L35" i="1"/>
  <c r="P35" i="1" s="1"/>
  <c r="L36" i="1"/>
  <c r="L37" i="1"/>
  <c r="P37" i="1" s="1"/>
  <c r="L38" i="1"/>
  <c r="P38" i="1" s="1"/>
  <c r="L39" i="1"/>
  <c r="L40" i="1"/>
  <c r="P40" i="1" s="1"/>
  <c r="L41" i="1"/>
  <c r="P41" i="1" s="1"/>
  <c r="L42" i="1"/>
  <c r="L43" i="1"/>
  <c r="L44" i="1"/>
  <c r="L45" i="1"/>
  <c r="L46" i="1"/>
  <c r="P46" i="1" s="1"/>
  <c r="L47" i="1"/>
  <c r="P47" i="1" s="1"/>
  <c r="L48" i="1"/>
  <c r="P48" i="1" s="1"/>
  <c r="L49" i="1"/>
  <c r="P49" i="1" s="1"/>
  <c r="L50" i="1"/>
  <c r="P50" i="1" s="1"/>
  <c r="L51" i="1"/>
  <c r="L52" i="1"/>
  <c r="P52" i="1" s="1"/>
  <c r="L53" i="1"/>
  <c r="P53" i="1" s="1"/>
  <c r="L54" i="1"/>
  <c r="P54" i="1" s="1"/>
  <c r="L55" i="1"/>
  <c r="L56" i="1"/>
  <c r="L57" i="1"/>
  <c r="L58" i="1"/>
  <c r="P58" i="1" s="1"/>
  <c r="L59" i="1"/>
  <c r="P59" i="1" s="1"/>
  <c r="L60" i="1"/>
  <c r="L61" i="1"/>
  <c r="P61" i="1" s="1"/>
  <c r="L62" i="1"/>
  <c r="L63" i="1"/>
  <c r="L64" i="1"/>
  <c r="P64" i="1" s="1"/>
  <c r="L65" i="1"/>
  <c r="P65" i="1" s="1"/>
  <c r="L66" i="1"/>
  <c r="L67" i="1"/>
  <c r="L68" i="1"/>
  <c r="P68" i="1" s="1"/>
  <c r="L69" i="1"/>
  <c r="L70" i="1"/>
  <c r="P70" i="1" s="1"/>
  <c r="L71" i="1"/>
  <c r="P71" i="1" s="1"/>
  <c r="L72" i="1"/>
  <c r="P72" i="1" s="1"/>
  <c r="L73" i="1"/>
  <c r="P73" i="1" s="1"/>
  <c r="L74" i="1"/>
  <c r="P74" i="1" s="1"/>
  <c r="L75" i="1"/>
  <c r="L76" i="1"/>
  <c r="P76" i="1" s="1"/>
  <c r="L77" i="1"/>
  <c r="P77" i="1" s="1"/>
  <c r="L78" i="1"/>
  <c r="P78" i="1" s="1"/>
  <c r="L79" i="1"/>
  <c r="L80" i="1"/>
  <c r="L81" i="1"/>
  <c r="L82" i="1"/>
  <c r="P82" i="1" s="1"/>
  <c r="L83" i="1"/>
  <c r="P83" i="1" s="1"/>
  <c r="L84" i="1"/>
  <c r="L85" i="1"/>
  <c r="P85" i="1" s="1"/>
  <c r="L86" i="1"/>
  <c r="L87" i="1"/>
  <c r="L88" i="1"/>
  <c r="P88" i="1" s="1"/>
  <c r="L89" i="1"/>
  <c r="P89" i="1" s="1"/>
  <c r="L90" i="1"/>
  <c r="L91" i="1"/>
  <c r="L92" i="1"/>
  <c r="L93" i="1"/>
  <c r="L94" i="1"/>
  <c r="P94" i="1" s="1"/>
  <c r="L95" i="1"/>
  <c r="L96" i="1"/>
  <c r="P96" i="1" s="1"/>
  <c r="L97" i="1"/>
  <c r="P97" i="1" s="1"/>
  <c r="L98" i="1"/>
  <c r="P98" i="1" s="1"/>
  <c r="L99" i="1"/>
  <c r="L100" i="1"/>
  <c r="P100" i="1" s="1"/>
  <c r="L101" i="1"/>
  <c r="P101" i="1" s="1"/>
  <c r="L102" i="1"/>
  <c r="P102" i="1" s="1"/>
  <c r="L103" i="1"/>
  <c r="L104" i="1"/>
  <c r="L105" i="1"/>
  <c r="P105" i="1" s="1"/>
  <c r="L106" i="1"/>
  <c r="P106" i="1" s="1"/>
  <c r="L107" i="1"/>
  <c r="P107" i="1" s="1"/>
  <c r="L108" i="1"/>
  <c r="L109" i="1"/>
  <c r="P109" i="1" s="1"/>
  <c r="L110" i="1"/>
  <c r="L111" i="1"/>
  <c r="L112" i="1"/>
  <c r="P112" i="1" s="1"/>
  <c r="L113" i="1"/>
  <c r="P113" i="1" s="1"/>
  <c r="L114" i="1"/>
  <c r="L115" i="1"/>
  <c r="L116" i="1"/>
  <c r="P116" i="1" s="1"/>
  <c r="L117" i="1"/>
  <c r="P117" i="1" s="1"/>
  <c r="L118" i="1"/>
  <c r="P118" i="1" s="1"/>
  <c r="L119" i="1"/>
  <c r="L120" i="1"/>
  <c r="P120" i="1" s="1"/>
  <c r="L121" i="1"/>
  <c r="P121" i="1" s="1"/>
  <c r="L122" i="1"/>
  <c r="P122" i="1" s="1"/>
  <c r="L123" i="1"/>
  <c r="L124" i="1"/>
  <c r="P124" i="1" s="1"/>
  <c r="L125" i="1"/>
  <c r="P125" i="1" s="1"/>
  <c r="L126" i="1"/>
  <c r="P126" i="1" s="1"/>
  <c r="L127" i="1"/>
  <c r="L128" i="1"/>
  <c r="L129" i="1"/>
  <c r="L130" i="1"/>
  <c r="P130" i="1" s="1"/>
  <c r="L5" i="1"/>
  <c r="P5" i="1" s="1"/>
  <c r="M6" i="1"/>
  <c r="Q6" i="1" s="1"/>
  <c r="M7" i="1"/>
  <c r="Q7" i="1" s="1"/>
  <c r="M8" i="1"/>
  <c r="Q8" i="1" s="1"/>
  <c r="M9" i="1"/>
  <c r="Q9" i="1" s="1"/>
  <c r="M10" i="1"/>
  <c r="Q10" i="1" s="1"/>
  <c r="M11" i="1"/>
  <c r="Q11" i="1" s="1"/>
  <c r="M12" i="1"/>
  <c r="Q12" i="1" s="1"/>
  <c r="M13" i="1"/>
  <c r="Q13" i="1" s="1"/>
  <c r="M14" i="1"/>
  <c r="M15" i="1"/>
  <c r="Q15" i="1" s="1"/>
  <c r="M16" i="1"/>
  <c r="M17" i="1"/>
  <c r="M18" i="1"/>
  <c r="Q18" i="1" s="1"/>
  <c r="M19" i="1"/>
  <c r="Q19" i="1" s="1"/>
  <c r="M20" i="1"/>
  <c r="Q20" i="1" s="1"/>
  <c r="M21" i="1"/>
  <c r="Q21" i="1" s="1"/>
  <c r="M22" i="1"/>
  <c r="Q22" i="1" s="1"/>
  <c r="M23" i="1"/>
  <c r="Q23" i="1" s="1"/>
  <c r="M24" i="1"/>
  <c r="Q24" i="1" s="1"/>
  <c r="M25" i="1"/>
  <c r="Q25" i="1" s="1"/>
  <c r="M26" i="1"/>
  <c r="Q26" i="1" s="1"/>
  <c r="M27" i="1"/>
  <c r="Q27" i="1" s="1"/>
  <c r="M28" i="1"/>
  <c r="M29" i="1"/>
  <c r="Q29" i="1" s="1"/>
  <c r="M30" i="1"/>
  <c r="Q30" i="1" s="1"/>
  <c r="M31" i="1"/>
  <c r="Q31" i="1" s="1"/>
  <c r="M32" i="1"/>
  <c r="Q32" i="1" s="1"/>
  <c r="M33" i="1"/>
  <c r="Q33" i="1" s="1"/>
  <c r="M34" i="1"/>
  <c r="Q34" i="1" s="1"/>
  <c r="M35" i="1"/>
  <c r="Q35" i="1" s="1"/>
  <c r="M36" i="1"/>
  <c r="Q36" i="1" s="1"/>
  <c r="M37" i="1"/>
  <c r="Q37" i="1" s="1"/>
  <c r="M38" i="1"/>
  <c r="M39" i="1"/>
  <c r="Q39" i="1" s="1"/>
  <c r="M40" i="1"/>
  <c r="M41" i="1"/>
  <c r="M42" i="1"/>
  <c r="Q42" i="1" s="1"/>
  <c r="M43" i="1"/>
  <c r="Q43" i="1" s="1"/>
  <c r="M44" i="1"/>
  <c r="Q44" i="1" s="1"/>
  <c r="M45" i="1"/>
  <c r="Q45" i="1" s="1"/>
  <c r="M46" i="1"/>
  <c r="Q46" i="1" s="1"/>
  <c r="M47" i="1"/>
  <c r="Q47" i="1" s="1"/>
  <c r="M48" i="1"/>
  <c r="Q48" i="1" s="1"/>
  <c r="M49" i="1"/>
  <c r="Q49" i="1" s="1"/>
  <c r="M50" i="1"/>
  <c r="Q50" i="1" s="1"/>
  <c r="M51" i="1"/>
  <c r="Q51" i="1" s="1"/>
  <c r="M52" i="1"/>
  <c r="M53" i="1"/>
  <c r="Q53" i="1" s="1"/>
  <c r="M54" i="1"/>
  <c r="Q54" i="1" s="1"/>
  <c r="M55" i="1"/>
  <c r="Q55" i="1" s="1"/>
  <c r="M56" i="1"/>
  <c r="Q56" i="1" s="1"/>
  <c r="M57" i="1"/>
  <c r="Q57" i="1" s="1"/>
  <c r="M58" i="1"/>
  <c r="Q58" i="1" s="1"/>
  <c r="M59" i="1"/>
  <c r="Q59" i="1" s="1"/>
  <c r="M60" i="1"/>
  <c r="Q60" i="1" s="1"/>
  <c r="M61" i="1"/>
  <c r="Q61" i="1" s="1"/>
  <c r="M62" i="1"/>
  <c r="Q62" i="1" s="1"/>
  <c r="M63" i="1"/>
  <c r="Q63" i="1" s="1"/>
  <c r="M64" i="1"/>
  <c r="M65" i="1"/>
  <c r="Q65" i="1" s="1"/>
  <c r="M66" i="1"/>
  <c r="Q66" i="1" s="1"/>
  <c r="M67" i="1"/>
  <c r="Q67" i="1" s="1"/>
  <c r="M68" i="1"/>
  <c r="Q68" i="1" s="1"/>
  <c r="M69" i="1"/>
  <c r="Q69" i="1" s="1"/>
  <c r="M70" i="1"/>
  <c r="Q70" i="1" s="1"/>
  <c r="M71" i="1"/>
  <c r="Q71" i="1" s="1"/>
  <c r="M72" i="1"/>
  <c r="Q72" i="1" s="1"/>
  <c r="M73" i="1"/>
  <c r="Q73" i="1" s="1"/>
  <c r="M74" i="1"/>
  <c r="Q74" i="1" s="1"/>
  <c r="M75" i="1"/>
  <c r="Q75" i="1" s="1"/>
  <c r="M76" i="1"/>
  <c r="M77" i="1"/>
  <c r="M78" i="1"/>
  <c r="Q78" i="1" s="1"/>
  <c r="M79" i="1"/>
  <c r="Q79" i="1" s="1"/>
  <c r="M80" i="1"/>
  <c r="Q80" i="1" s="1"/>
  <c r="M81" i="1"/>
  <c r="Q81" i="1" s="1"/>
  <c r="M82" i="1"/>
  <c r="Q82" i="1" s="1"/>
  <c r="M83" i="1"/>
  <c r="Q83" i="1" s="1"/>
  <c r="M84" i="1"/>
  <c r="Q84" i="1" s="1"/>
  <c r="M85" i="1"/>
  <c r="Q85" i="1" s="1"/>
  <c r="M86" i="1"/>
  <c r="Q86" i="1" s="1"/>
  <c r="M87" i="1"/>
  <c r="Q87" i="1" s="1"/>
  <c r="M88" i="1"/>
  <c r="M89" i="1"/>
  <c r="Q89" i="1" s="1"/>
  <c r="M90" i="1"/>
  <c r="Q90" i="1" s="1"/>
  <c r="M91" i="1"/>
  <c r="Q91" i="1" s="1"/>
  <c r="M92" i="1"/>
  <c r="Q92" i="1" s="1"/>
  <c r="M93" i="1"/>
  <c r="Q93" i="1" s="1"/>
  <c r="M94" i="1"/>
  <c r="Q94" i="1" s="1"/>
  <c r="M95" i="1"/>
  <c r="Q95" i="1" s="1"/>
  <c r="M96" i="1"/>
  <c r="Q96" i="1" s="1"/>
  <c r="M97" i="1"/>
  <c r="Q97" i="1" s="1"/>
  <c r="M98" i="1"/>
  <c r="Q98" i="1" s="1"/>
  <c r="M99" i="1"/>
  <c r="Q99" i="1" s="1"/>
  <c r="M100" i="1"/>
  <c r="M101" i="1"/>
  <c r="Q101" i="1" s="1"/>
  <c r="M102" i="1"/>
  <c r="Q102" i="1" s="1"/>
  <c r="M103" i="1"/>
  <c r="Q103" i="1" s="1"/>
  <c r="M104" i="1"/>
  <c r="Q104" i="1" s="1"/>
  <c r="M105" i="1"/>
  <c r="Q105" i="1" s="1"/>
  <c r="M106" i="1"/>
  <c r="Q106" i="1" s="1"/>
  <c r="M107" i="1"/>
  <c r="Q107" i="1" s="1"/>
  <c r="M108" i="1"/>
  <c r="Q108" i="1" s="1"/>
  <c r="M109" i="1"/>
  <c r="Q109" i="1" s="1"/>
  <c r="M110" i="1"/>
  <c r="Q110" i="1" s="1"/>
  <c r="M111" i="1"/>
  <c r="Q111" i="1" s="1"/>
  <c r="M112" i="1"/>
  <c r="M113" i="1"/>
  <c r="Q113" i="1" s="1"/>
  <c r="M114" i="1"/>
  <c r="Q114" i="1" s="1"/>
  <c r="M115" i="1"/>
  <c r="Q115" i="1" s="1"/>
  <c r="M116" i="1"/>
  <c r="Q116" i="1" s="1"/>
  <c r="M117" i="1"/>
  <c r="Q117" i="1" s="1"/>
  <c r="M118" i="1"/>
  <c r="Q118" i="1" s="1"/>
  <c r="M119" i="1"/>
  <c r="Q119" i="1" s="1"/>
  <c r="M120" i="1"/>
  <c r="Q120" i="1" s="1"/>
  <c r="M121" i="1"/>
  <c r="Q121" i="1" s="1"/>
  <c r="M122" i="1"/>
  <c r="Q122" i="1" s="1"/>
  <c r="M123" i="1"/>
  <c r="Q123" i="1" s="1"/>
  <c r="M124" i="1"/>
  <c r="M125" i="1"/>
  <c r="M126" i="1"/>
  <c r="Q126" i="1" s="1"/>
  <c r="M127" i="1"/>
  <c r="Q127" i="1" s="1"/>
  <c r="M128" i="1"/>
  <c r="Q128" i="1" s="1"/>
  <c r="M129" i="1"/>
  <c r="Q129" i="1" s="1"/>
  <c r="M130" i="1"/>
  <c r="Q130" i="1" s="1"/>
  <c r="M5" i="1"/>
  <c r="Q5" i="1" s="1"/>
  <c r="R117" i="1" l="1"/>
  <c r="R102" i="1"/>
  <c r="R6" i="1"/>
  <c r="R101" i="1"/>
  <c r="R65" i="1"/>
  <c r="R29" i="1"/>
  <c r="R122" i="1"/>
  <c r="R74" i="1"/>
  <c r="R26" i="1"/>
  <c r="R85" i="1"/>
  <c r="R73" i="1"/>
  <c r="R61" i="1"/>
  <c r="R25" i="1"/>
  <c r="R72" i="1"/>
  <c r="R113" i="1"/>
  <c r="R89" i="1"/>
  <c r="R53" i="1"/>
  <c r="R107" i="1"/>
  <c r="R47" i="1"/>
  <c r="N23" i="1"/>
  <c r="R48" i="1"/>
  <c r="N37" i="1"/>
  <c r="N125" i="1"/>
  <c r="N77" i="1"/>
  <c r="N41" i="1"/>
  <c r="R5" i="1"/>
  <c r="N119" i="1"/>
  <c r="N95" i="1"/>
  <c r="R83" i="1"/>
  <c r="R71" i="1"/>
  <c r="R59" i="1"/>
  <c r="R35" i="1"/>
  <c r="R11" i="1"/>
  <c r="N25" i="1"/>
  <c r="T25" i="1" s="1"/>
  <c r="R46" i="1"/>
  <c r="N11" i="1"/>
  <c r="T11" i="1" s="1"/>
  <c r="R50" i="1"/>
  <c r="R98" i="1"/>
  <c r="R121" i="1"/>
  <c r="R96" i="1"/>
  <c r="R78" i="1"/>
  <c r="N109" i="1"/>
  <c r="N124" i="1"/>
  <c r="R106" i="1"/>
  <c r="R10" i="1"/>
  <c r="N117" i="1"/>
  <c r="T117" i="1" s="1"/>
  <c r="N105" i="1"/>
  <c r="N69" i="1"/>
  <c r="N57" i="1"/>
  <c r="N21" i="1"/>
  <c r="N9" i="1"/>
  <c r="R30" i="1"/>
  <c r="N85" i="1"/>
  <c r="N46" i="1"/>
  <c r="R13" i="1"/>
  <c r="N130" i="1"/>
  <c r="N13" i="1"/>
  <c r="R126" i="1"/>
  <c r="R120" i="1"/>
  <c r="N100" i="1"/>
  <c r="R130" i="1"/>
  <c r="R82" i="1"/>
  <c r="R58" i="1"/>
  <c r="N22" i="1"/>
  <c r="N97" i="1"/>
  <c r="N38" i="1"/>
  <c r="R68" i="1"/>
  <c r="N73" i="1"/>
  <c r="R97" i="1"/>
  <c r="R37" i="1"/>
  <c r="R24" i="1"/>
  <c r="N121" i="1"/>
  <c r="T121" i="1" s="1"/>
  <c r="N10" i="1"/>
  <c r="N40" i="1"/>
  <c r="R118" i="1"/>
  <c r="R34" i="1"/>
  <c r="N127" i="1"/>
  <c r="N115" i="1"/>
  <c r="N103" i="1"/>
  <c r="N91" i="1"/>
  <c r="N79" i="1"/>
  <c r="N67" i="1"/>
  <c r="N55" i="1"/>
  <c r="N43" i="1"/>
  <c r="N31" i="1"/>
  <c r="N19" i="1"/>
  <c r="N7" i="1"/>
  <c r="Q38" i="1"/>
  <c r="R38" i="1" s="1"/>
  <c r="N70" i="1"/>
  <c r="R49" i="1"/>
  <c r="R70" i="1"/>
  <c r="N61" i="1"/>
  <c r="R105" i="1"/>
  <c r="R54" i="1"/>
  <c r="R94" i="1"/>
  <c r="N49" i="1"/>
  <c r="P60" i="1"/>
  <c r="R60" i="1" s="1"/>
  <c r="N60" i="1"/>
  <c r="P36" i="1"/>
  <c r="R36" i="1" s="1"/>
  <c r="N36" i="1"/>
  <c r="Q41" i="1"/>
  <c r="R41" i="1" s="1"/>
  <c r="N65" i="1"/>
  <c r="N64" i="1"/>
  <c r="Q64" i="1"/>
  <c r="R64" i="1" s="1"/>
  <c r="Q16" i="1"/>
  <c r="R16" i="1" s="1"/>
  <c r="N16" i="1"/>
  <c r="T16" i="1" s="1"/>
  <c r="P23" i="1"/>
  <c r="R23" i="1" s="1"/>
  <c r="T23" i="1" s="1"/>
  <c r="Q40" i="1"/>
  <c r="R40" i="1" s="1"/>
  <c r="T40" i="1" s="1"/>
  <c r="N34" i="1"/>
  <c r="N129" i="1"/>
  <c r="P129" i="1"/>
  <c r="R129" i="1" s="1"/>
  <c r="N81" i="1"/>
  <c r="P81" i="1"/>
  <c r="R81" i="1" s="1"/>
  <c r="N33" i="1"/>
  <c r="P33" i="1"/>
  <c r="R33" i="1" s="1"/>
  <c r="P22" i="1"/>
  <c r="R22" i="1" s="1"/>
  <c r="N89" i="1"/>
  <c r="N59" i="1"/>
  <c r="N14" i="1"/>
  <c r="Q14" i="1"/>
  <c r="R14" i="1" s="1"/>
  <c r="N116" i="1"/>
  <c r="N92" i="1"/>
  <c r="P92" i="1"/>
  <c r="R92" i="1" s="1"/>
  <c r="N80" i="1"/>
  <c r="P80" i="1"/>
  <c r="R80" i="1" s="1"/>
  <c r="N56" i="1"/>
  <c r="P56" i="1"/>
  <c r="R56" i="1" s="1"/>
  <c r="N44" i="1"/>
  <c r="P44" i="1"/>
  <c r="R44" i="1" s="1"/>
  <c r="N20" i="1"/>
  <c r="N8" i="1"/>
  <c r="P8" i="1"/>
  <c r="R8" i="1" s="1"/>
  <c r="P21" i="1"/>
  <c r="R21" i="1" s="1"/>
  <c r="N118" i="1"/>
  <c r="N26" i="1"/>
  <c r="P20" i="1"/>
  <c r="R20" i="1" s="1"/>
  <c r="N83" i="1"/>
  <c r="P69" i="1"/>
  <c r="R69" i="1" s="1"/>
  <c r="Q77" i="1"/>
  <c r="R77" i="1" s="1"/>
  <c r="N107" i="1"/>
  <c r="P119" i="1"/>
  <c r="R119" i="1" s="1"/>
  <c r="Q125" i="1"/>
  <c r="R125" i="1" s="1"/>
  <c r="T125" i="1" s="1"/>
  <c r="N106" i="1"/>
  <c r="T106" i="1" s="1"/>
  <c r="N74" i="1"/>
  <c r="T74" i="1" s="1"/>
  <c r="N48" i="1"/>
  <c r="P123" i="1"/>
  <c r="R123" i="1" s="1"/>
  <c r="N123" i="1"/>
  <c r="P111" i="1"/>
  <c r="R111" i="1" s="1"/>
  <c r="N111" i="1"/>
  <c r="T111" i="1" s="1"/>
  <c r="P99" i="1"/>
  <c r="R99" i="1" s="1"/>
  <c r="N99" i="1"/>
  <c r="T99" i="1" s="1"/>
  <c r="P87" i="1"/>
  <c r="R87" i="1" s="1"/>
  <c r="N87" i="1"/>
  <c r="T87" i="1" s="1"/>
  <c r="P75" i="1"/>
  <c r="R75" i="1" s="1"/>
  <c r="N75" i="1"/>
  <c r="P63" i="1"/>
  <c r="R63" i="1" s="1"/>
  <c r="N63" i="1"/>
  <c r="P51" i="1"/>
  <c r="R51" i="1" s="1"/>
  <c r="N51" i="1"/>
  <c r="P39" i="1"/>
  <c r="R39" i="1" s="1"/>
  <c r="N39" i="1"/>
  <c r="T39" i="1" s="1"/>
  <c r="P27" i="1"/>
  <c r="R27" i="1" s="1"/>
  <c r="N27" i="1"/>
  <c r="T27" i="1" s="1"/>
  <c r="P15" i="1"/>
  <c r="R15" i="1" s="1"/>
  <c r="N15" i="1"/>
  <c r="T15" i="1" s="1"/>
  <c r="P57" i="1"/>
  <c r="R57" i="1" s="1"/>
  <c r="Q124" i="1"/>
  <c r="R124" i="1" s="1"/>
  <c r="N5" i="1"/>
  <c r="T5" i="1" s="1"/>
  <c r="N101" i="1"/>
  <c r="N47" i="1"/>
  <c r="P110" i="1"/>
  <c r="R110" i="1" s="1"/>
  <c r="N110" i="1"/>
  <c r="P62" i="1"/>
  <c r="R62" i="1" s="1"/>
  <c r="N62" i="1"/>
  <c r="N98" i="1"/>
  <c r="N72" i="1"/>
  <c r="R109" i="1"/>
  <c r="R116" i="1"/>
  <c r="N71" i="1"/>
  <c r="P86" i="1"/>
  <c r="R86" i="1" s="1"/>
  <c r="N86" i="1"/>
  <c r="P108" i="1"/>
  <c r="R108" i="1" s="1"/>
  <c r="N108" i="1"/>
  <c r="Q17" i="1"/>
  <c r="R17" i="1" s="1"/>
  <c r="N17" i="1"/>
  <c r="T17" i="1" s="1"/>
  <c r="Q88" i="1"/>
  <c r="R88" i="1" s="1"/>
  <c r="N88" i="1"/>
  <c r="T88" i="1" s="1"/>
  <c r="P95" i="1"/>
  <c r="R95" i="1" s="1"/>
  <c r="N120" i="1"/>
  <c r="P84" i="1"/>
  <c r="R84" i="1" s="1"/>
  <c r="N84" i="1"/>
  <c r="P12" i="1"/>
  <c r="R12" i="1" s="1"/>
  <c r="N12" i="1"/>
  <c r="N122" i="1"/>
  <c r="N96" i="1"/>
  <c r="N35" i="1"/>
  <c r="Q112" i="1"/>
  <c r="R112" i="1" s="1"/>
  <c r="N112" i="1"/>
  <c r="T112" i="1" s="1"/>
  <c r="N76" i="1"/>
  <c r="Q76" i="1"/>
  <c r="R76" i="1" s="1"/>
  <c r="Q52" i="1"/>
  <c r="R52" i="1" s="1"/>
  <c r="N52" i="1"/>
  <c r="Q28" i="1"/>
  <c r="R28" i="1" s="1"/>
  <c r="N28" i="1"/>
  <c r="Q100" i="1"/>
  <c r="R100" i="1" s="1"/>
  <c r="N94" i="1"/>
  <c r="N93" i="1"/>
  <c r="P93" i="1"/>
  <c r="R93" i="1" s="1"/>
  <c r="N45" i="1"/>
  <c r="P45" i="1"/>
  <c r="R45" i="1" s="1"/>
  <c r="N29" i="1"/>
  <c r="N128" i="1"/>
  <c r="P128" i="1"/>
  <c r="R128" i="1" s="1"/>
  <c r="N104" i="1"/>
  <c r="P104" i="1"/>
  <c r="R104" i="1" s="1"/>
  <c r="N68" i="1"/>
  <c r="N32" i="1"/>
  <c r="P32" i="1"/>
  <c r="R32" i="1" s="1"/>
  <c r="N58" i="1"/>
  <c r="N113" i="1"/>
  <c r="N53" i="1"/>
  <c r="P9" i="1"/>
  <c r="R9" i="1" s="1"/>
  <c r="N82" i="1"/>
  <c r="N50" i="1"/>
  <c r="N24" i="1"/>
  <c r="T55" i="1"/>
  <c r="N126" i="1"/>
  <c r="N114" i="1"/>
  <c r="N102" i="1"/>
  <c r="N90" i="1"/>
  <c r="N78" i="1"/>
  <c r="N66" i="1"/>
  <c r="N54" i="1"/>
  <c r="N42" i="1"/>
  <c r="T42" i="1" s="1"/>
  <c r="N30" i="1"/>
  <c r="N18" i="1"/>
  <c r="T18" i="1" s="1"/>
  <c r="N6" i="1"/>
  <c r="P127" i="1"/>
  <c r="R127" i="1" s="1"/>
  <c r="P103" i="1"/>
  <c r="R103" i="1" s="1"/>
  <c r="P79" i="1"/>
  <c r="R79" i="1" s="1"/>
  <c r="P55" i="1"/>
  <c r="R55" i="1" s="1"/>
  <c r="P31" i="1"/>
  <c r="R31" i="1" s="1"/>
  <c r="T31" i="1" s="1"/>
  <c r="P7" i="1"/>
  <c r="R7" i="1" s="1"/>
  <c r="P115" i="1"/>
  <c r="R115" i="1" s="1"/>
  <c r="P91" i="1"/>
  <c r="R91" i="1" s="1"/>
  <c r="P67" i="1"/>
  <c r="R67" i="1" s="1"/>
  <c r="P43" i="1"/>
  <c r="R43" i="1" s="1"/>
  <c r="P19" i="1"/>
  <c r="R19" i="1" s="1"/>
  <c r="T19" i="1" s="1"/>
  <c r="P114" i="1"/>
  <c r="R114" i="1" s="1"/>
  <c r="P90" i="1"/>
  <c r="R90" i="1" s="1"/>
  <c r="P66" i="1"/>
  <c r="R66" i="1" s="1"/>
  <c r="P42" i="1"/>
  <c r="R42" i="1" s="1"/>
  <c r="P18" i="1"/>
  <c r="R18" i="1" s="1"/>
  <c r="T124" i="1" l="1"/>
  <c r="T105" i="1"/>
  <c r="T46" i="1"/>
  <c r="T6" i="1"/>
  <c r="T59" i="1"/>
  <c r="T109" i="1"/>
  <c r="T89" i="1"/>
  <c r="T13" i="1"/>
  <c r="T95" i="1"/>
  <c r="T29" i="1"/>
  <c r="T65" i="1"/>
  <c r="T7" i="1"/>
  <c r="T9" i="1"/>
  <c r="T122" i="1"/>
  <c r="T47" i="1"/>
  <c r="T101" i="1"/>
  <c r="T48" i="1"/>
  <c r="T21" i="1"/>
  <c r="T120" i="1"/>
  <c r="T57" i="1"/>
  <c r="T50" i="1"/>
  <c r="T73" i="1"/>
  <c r="T54" i="1"/>
  <c r="T77" i="1"/>
  <c r="T35" i="1"/>
  <c r="T127" i="1"/>
  <c r="T97" i="1"/>
  <c r="T85" i="1"/>
  <c r="T108" i="1"/>
  <c r="T110" i="1"/>
  <c r="T38" i="1"/>
  <c r="T24" i="1"/>
  <c r="T43" i="1"/>
  <c r="T102" i="1"/>
  <c r="T34" i="1"/>
  <c r="T71" i="1"/>
  <c r="T82" i="1"/>
  <c r="T22" i="1"/>
  <c r="T53" i="1"/>
  <c r="T62" i="1"/>
  <c r="T69" i="1"/>
  <c r="T37" i="1"/>
  <c r="T30" i="1"/>
  <c r="T119" i="1"/>
  <c r="T72" i="1"/>
  <c r="T107" i="1"/>
  <c r="T98" i="1"/>
  <c r="T113" i="1"/>
  <c r="T96" i="1"/>
  <c r="T61" i="1"/>
  <c r="T79" i="1"/>
  <c r="T70" i="1"/>
  <c r="T91" i="1"/>
  <c r="T130" i="1"/>
  <c r="T126" i="1"/>
  <c r="T100" i="1"/>
  <c r="T12" i="1"/>
  <c r="T51" i="1"/>
  <c r="T123" i="1"/>
  <c r="T26" i="1"/>
  <c r="T41" i="1"/>
  <c r="T49" i="1"/>
  <c r="T58" i="1"/>
  <c r="T83" i="1"/>
  <c r="T94" i="1"/>
  <c r="T28" i="1"/>
  <c r="T86" i="1"/>
  <c r="T36" i="1"/>
  <c r="T32" i="1"/>
  <c r="T8" i="1"/>
  <c r="T67" i="1"/>
  <c r="T104" i="1"/>
  <c r="T78" i="1"/>
  <c r="T52" i="1"/>
  <c r="T84" i="1"/>
  <c r="T14" i="1"/>
  <c r="T44" i="1"/>
  <c r="T10" i="1"/>
  <c r="T93" i="1"/>
  <c r="T129" i="1"/>
  <c r="T68" i="1"/>
  <c r="T115" i="1"/>
  <c r="T103" i="1"/>
  <c r="T114" i="1"/>
  <c r="T63" i="1"/>
  <c r="T118" i="1"/>
  <c r="T56" i="1"/>
  <c r="T33" i="1"/>
  <c r="T90" i="1"/>
  <c r="T20" i="1"/>
  <c r="T60" i="1"/>
  <c r="T92" i="1"/>
  <c r="T81" i="1"/>
  <c r="T76" i="1"/>
  <c r="T116" i="1"/>
  <c r="T128" i="1"/>
  <c r="T80" i="1"/>
  <c r="T64" i="1"/>
  <c r="T45" i="1"/>
  <c r="T66" i="1"/>
  <c r="T75" i="1"/>
</calcChain>
</file>

<file path=xl/sharedStrings.xml><?xml version="1.0" encoding="utf-8"?>
<sst xmlns="http://schemas.openxmlformats.org/spreadsheetml/2006/main" count="34" uniqueCount="22">
  <si>
    <t>Frame</t>
  </si>
  <si>
    <t>Time</t>
  </si>
  <si>
    <t>Linear Displacement2 (mm)</t>
  </si>
  <si>
    <t xml:space="preserve">Ref. Coordinate System: </t>
  </si>
  <si>
    <t>Linear Displacement3 (mm)</t>
  </si>
  <si>
    <t>Linear Displacement4 (mm)</t>
  </si>
  <si>
    <t>Linear Displacement5 (mm)</t>
  </si>
  <si>
    <t>Leg 1_X</t>
  </si>
  <si>
    <t>Leg 2_X</t>
  </si>
  <si>
    <t>Leg 3_X</t>
  </si>
  <si>
    <t>Leg 4_X</t>
  </si>
  <si>
    <t>Leg 3_Z</t>
  </si>
  <si>
    <t>Leg 2_Z</t>
  </si>
  <si>
    <t>Leg 4_Z</t>
  </si>
  <si>
    <t>Leg 1_Z</t>
  </si>
  <si>
    <t>Diff</t>
  </si>
  <si>
    <t>Z1</t>
  </si>
  <si>
    <t>Z2</t>
  </si>
  <si>
    <t>X1</t>
  </si>
  <si>
    <t>X2</t>
  </si>
  <si>
    <t>Angle</t>
  </si>
  <si>
    <t>THIS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</si>
</sst>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1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0" fillId="0" borderId="0" xfId="0" applyNumberFormat="1"/>
    <xf numFmtId="2" fontId="0" fillId="0" borderId="2" xfId="0" applyNumberFormat="1" applyBorder="1"/>
    <xf numFmtId="2" fontId="1" fillId="0" borderId="0" xfId="0" applyNumberFormat="1" applyFont="1"/>
    <xf numFmtId="164" fontId="0" fillId="0" borderId="0" xfId="0" applyNumberFormat="1"/>
    <xf numFmtId="0" fontId="0" fillId="0" borderId="0" xfId="0" applyAlignment="1">
      <alignment horizontal="left" indent="4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Plot10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Sheet1!$E$2:$E$3</c:f>
              <c:strCache>
                <c:ptCount val="2"/>
                <c:pt idx="0">
                  <c:v>Leg 3_X</c:v>
                </c:pt>
                <c:pt idx="1">
                  <c:v>Linear Displacement2 (mm)</c:v>
                </c:pt>
              </c:strCache>
            </c:strRef>
          </c:tx>
          <c:marker>
            <c:symbol val="none"/>
          </c:marker>
          <c:xVal>
            <c:numRef>
              <c:f>Sheet1!$B$5:$B$130</c:f>
              <c:numCache>
                <c:formatCode>0.00</c:formatCode>
                <c:ptCount val="126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0.24000000000000002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0.39999999999999997</c:v>
                </c:pt>
                <c:pt idx="11">
                  <c:v>0.43999999999999995</c:v>
                </c:pt>
                <c:pt idx="12">
                  <c:v>0.47999999999999993</c:v>
                </c:pt>
                <c:pt idx="13">
                  <c:v>0.51999999999999991</c:v>
                </c:pt>
                <c:pt idx="14">
                  <c:v>0.55999999999999994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0.72000000000000008</c:v>
                </c:pt>
                <c:pt idx="19">
                  <c:v>0.76000000000000012</c:v>
                </c:pt>
                <c:pt idx="20">
                  <c:v>0.80000000000000016</c:v>
                </c:pt>
                <c:pt idx="21">
                  <c:v>0.84000000000000019</c:v>
                </c:pt>
                <c:pt idx="22">
                  <c:v>0.88000000000000023</c:v>
                </c:pt>
                <c:pt idx="23">
                  <c:v>0.92000000000000026</c:v>
                </c:pt>
                <c:pt idx="24">
                  <c:v>0.9600000000000003</c:v>
                </c:pt>
                <c:pt idx="25">
                  <c:v>1.0000000000000002</c:v>
                </c:pt>
                <c:pt idx="26">
                  <c:v>1.0400000000000003</c:v>
                </c:pt>
                <c:pt idx="27">
                  <c:v>1.0800000000000003</c:v>
                </c:pt>
                <c:pt idx="28">
                  <c:v>1.1200000000000003</c:v>
                </c:pt>
                <c:pt idx="29">
                  <c:v>1.1600000000000004</c:v>
                </c:pt>
                <c:pt idx="30">
                  <c:v>1.2000000000000004</c:v>
                </c:pt>
                <c:pt idx="31">
                  <c:v>1.2400000000000004</c:v>
                </c:pt>
                <c:pt idx="32">
                  <c:v>1.2800000000000005</c:v>
                </c:pt>
                <c:pt idx="33">
                  <c:v>1.3200000000000005</c:v>
                </c:pt>
                <c:pt idx="34">
                  <c:v>1.3600000000000005</c:v>
                </c:pt>
                <c:pt idx="35">
                  <c:v>1.4000000000000006</c:v>
                </c:pt>
                <c:pt idx="36">
                  <c:v>1.4400000000000006</c:v>
                </c:pt>
                <c:pt idx="37">
                  <c:v>1.4800000000000006</c:v>
                </c:pt>
                <c:pt idx="38">
                  <c:v>1.5200000000000007</c:v>
                </c:pt>
                <c:pt idx="39">
                  <c:v>1.5600000000000007</c:v>
                </c:pt>
                <c:pt idx="40">
                  <c:v>1.6000000000000008</c:v>
                </c:pt>
                <c:pt idx="41">
                  <c:v>1.6400000000000008</c:v>
                </c:pt>
                <c:pt idx="42">
                  <c:v>1.6800000000000008</c:v>
                </c:pt>
                <c:pt idx="43">
                  <c:v>1.7200000000000009</c:v>
                </c:pt>
                <c:pt idx="44">
                  <c:v>1.7600000000000009</c:v>
                </c:pt>
                <c:pt idx="45">
                  <c:v>1.8000000000000009</c:v>
                </c:pt>
                <c:pt idx="46">
                  <c:v>1.840000000000001</c:v>
                </c:pt>
                <c:pt idx="47">
                  <c:v>1.880000000000001</c:v>
                </c:pt>
                <c:pt idx="48">
                  <c:v>1.920000000000001</c:v>
                </c:pt>
                <c:pt idx="49">
                  <c:v>1.9600000000000011</c:v>
                </c:pt>
                <c:pt idx="50">
                  <c:v>2.0000000000000009</c:v>
                </c:pt>
                <c:pt idx="51">
                  <c:v>2.0400000000000009</c:v>
                </c:pt>
                <c:pt idx="52">
                  <c:v>2.080000000000001</c:v>
                </c:pt>
                <c:pt idx="53">
                  <c:v>2.120000000000001</c:v>
                </c:pt>
                <c:pt idx="54">
                  <c:v>2.160000000000001</c:v>
                </c:pt>
                <c:pt idx="55">
                  <c:v>2.2000000000000011</c:v>
                </c:pt>
                <c:pt idx="56">
                  <c:v>2.2400000000000011</c:v>
                </c:pt>
                <c:pt idx="57">
                  <c:v>2.2800000000000011</c:v>
                </c:pt>
                <c:pt idx="58">
                  <c:v>2.3200000000000012</c:v>
                </c:pt>
                <c:pt idx="59">
                  <c:v>2.3600000000000012</c:v>
                </c:pt>
                <c:pt idx="60">
                  <c:v>2.4000000000000012</c:v>
                </c:pt>
                <c:pt idx="61">
                  <c:v>2.4400000000000013</c:v>
                </c:pt>
                <c:pt idx="62">
                  <c:v>2.4800000000000013</c:v>
                </c:pt>
                <c:pt idx="63">
                  <c:v>2.5200000000000014</c:v>
                </c:pt>
                <c:pt idx="64">
                  <c:v>2.5600000000000014</c:v>
                </c:pt>
                <c:pt idx="65">
                  <c:v>2.6000000000000014</c:v>
                </c:pt>
                <c:pt idx="66">
                  <c:v>2.6400000000000015</c:v>
                </c:pt>
                <c:pt idx="67">
                  <c:v>2.6800000000000015</c:v>
                </c:pt>
                <c:pt idx="68">
                  <c:v>2.7200000000000015</c:v>
                </c:pt>
                <c:pt idx="69">
                  <c:v>2.7600000000000016</c:v>
                </c:pt>
                <c:pt idx="70">
                  <c:v>2.8000000000000016</c:v>
                </c:pt>
                <c:pt idx="71">
                  <c:v>2.8400000000000016</c:v>
                </c:pt>
                <c:pt idx="72">
                  <c:v>2.8800000000000017</c:v>
                </c:pt>
                <c:pt idx="73">
                  <c:v>2.9200000000000017</c:v>
                </c:pt>
                <c:pt idx="74">
                  <c:v>2.9600000000000017</c:v>
                </c:pt>
                <c:pt idx="75">
                  <c:v>3.0000000000000018</c:v>
                </c:pt>
                <c:pt idx="76">
                  <c:v>3.0400000000000018</c:v>
                </c:pt>
                <c:pt idx="77">
                  <c:v>3.0800000000000018</c:v>
                </c:pt>
                <c:pt idx="78">
                  <c:v>3.1200000000000019</c:v>
                </c:pt>
                <c:pt idx="79">
                  <c:v>3.1600000000000019</c:v>
                </c:pt>
                <c:pt idx="80">
                  <c:v>3.200000000000002</c:v>
                </c:pt>
                <c:pt idx="81">
                  <c:v>3.240000000000002</c:v>
                </c:pt>
                <c:pt idx="82">
                  <c:v>3.280000000000002</c:v>
                </c:pt>
                <c:pt idx="83">
                  <c:v>3.3200000000000021</c:v>
                </c:pt>
                <c:pt idx="84">
                  <c:v>3.3600000000000021</c:v>
                </c:pt>
                <c:pt idx="85">
                  <c:v>3.4000000000000021</c:v>
                </c:pt>
                <c:pt idx="86">
                  <c:v>3.4400000000000022</c:v>
                </c:pt>
                <c:pt idx="87">
                  <c:v>3.4800000000000022</c:v>
                </c:pt>
                <c:pt idx="88">
                  <c:v>3.5200000000000022</c:v>
                </c:pt>
                <c:pt idx="89">
                  <c:v>3.5600000000000023</c:v>
                </c:pt>
                <c:pt idx="90">
                  <c:v>3.6000000000000023</c:v>
                </c:pt>
                <c:pt idx="91">
                  <c:v>3.6400000000000023</c:v>
                </c:pt>
                <c:pt idx="92">
                  <c:v>3.6800000000000024</c:v>
                </c:pt>
                <c:pt idx="93">
                  <c:v>3.7200000000000024</c:v>
                </c:pt>
                <c:pt idx="94">
                  <c:v>3.7600000000000025</c:v>
                </c:pt>
                <c:pt idx="95">
                  <c:v>3.8000000000000025</c:v>
                </c:pt>
                <c:pt idx="96">
                  <c:v>3.8400000000000025</c:v>
                </c:pt>
                <c:pt idx="97">
                  <c:v>3.8800000000000026</c:v>
                </c:pt>
                <c:pt idx="98">
                  <c:v>3.9200000000000026</c:v>
                </c:pt>
                <c:pt idx="99">
                  <c:v>3.9600000000000026</c:v>
                </c:pt>
                <c:pt idx="100">
                  <c:v>4.0000000000000027</c:v>
                </c:pt>
                <c:pt idx="101">
                  <c:v>4.0400000000000027</c:v>
                </c:pt>
                <c:pt idx="102">
                  <c:v>4.0800000000000027</c:v>
                </c:pt>
                <c:pt idx="103">
                  <c:v>4.1200000000000028</c:v>
                </c:pt>
                <c:pt idx="104">
                  <c:v>4.1600000000000028</c:v>
                </c:pt>
                <c:pt idx="105">
                  <c:v>4.2000000000000028</c:v>
                </c:pt>
                <c:pt idx="106">
                  <c:v>4.2400000000000029</c:v>
                </c:pt>
                <c:pt idx="107">
                  <c:v>4.2800000000000029</c:v>
                </c:pt>
                <c:pt idx="108">
                  <c:v>4.3200000000000029</c:v>
                </c:pt>
                <c:pt idx="109">
                  <c:v>4.360000000000003</c:v>
                </c:pt>
                <c:pt idx="110">
                  <c:v>4.400000000000003</c:v>
                </c:pt>
                <c:pt idx="111">
                  <c:v>4.4400000000000031</c:v>
                </c:pt>
                <c:pt idx="112">
                  <c:v>4.4800000000000031</c:v>
                </c:pt>
                <c:pt idx="113">
                  <c:v>4.5200000000000031</c:v>
                </c:pt>
                <c:pt idx="114">
                  <c:v>4.5600000000000032</c:v>
                </c:pt>
                <c:pt idx="115">
                  <c:v>4.6000000000000032</c:v>
                </c:pt>
                <c:pt idx="116">
                  <c:v>4.6400000000000032</c:v>
                </c:pt>
                <c:pt idx="117">
                  <c:v>4.6800000000000033</c:v>
                </c:pt>
                <c:pt idx="118">
                  <c:v>4.7200000000000033</c:v>
                </c:pt>
                <c:pt idx="119">
                  <c:v>4.7600000000000033</c:v>
                </c:pt>
                <c:pt idx="120">
                  <c:v>4.8000000000000034</c:v>
                </c:pt>
                <c:pt idx="121">
                  <c:v>4.8400000000000034</c:v>
                </c:pt>
                <c:pt idx="122">
                  <c:v>4.8800000000000034</c:v>
                </c:pt>
                <c:pt idx="123">
                  <c:v>4.9200000000000035</c:v>
                </c:pt>
                <c:pt idx="124">
                  <c:v>4.9600000000000035</c:v>
                </c:pt>
                <c:pt idx="125">
                  <c:v>5</c:v>
                </c:pt>
              </c:numCache>
            </c:numRef>
          </c:xVal>
          <c:yVal>
            <c:numRef>
              <c:f>Sheet1!$E$5:$E$130</c:f>
              <c:numCache>
                <c:formatCode>0.00</c:formatCode>
                <c:ptCount val="126"/>
                <c:pt idx="0">
                  <c:v>-67.606625987709023</c:v>
                </c:pt>
                <c:pt idx="1">
                  <c:v>-67.647369082113485</c:v>
                </c:pt>
                <c:pt idx="2">
                  <c:v>-66.596385968660485</c:v>
                </c:pt>
                <c:pt idx="3">
                  <c:v>-64.297176519168858</c:v>
                </c:pt>
                <c:pt idx="4">
                  <c:v>-60.611553829521426</c:v>
                </c:pt>
                <c:pt idx="5">
                  <c:v>-55.458888149785665</c:v>
                </c:pt>
                <c:pt idx="6">
                  <c:v>-48.883084577079543</c:v>
                </c:pt>
                <c:pt idx="7">
                  <c:v>-41.149867158760522</c:v>
                </c:pt>
                <c:pt idx="8">
                  <c:v>-32.848372004189734</c:v>
                </c:pt>
                <c:pt idx="9">
                  <c:v>-24.874843060285585</c:v>
                </c:pt>
                <c:pt idx="10">
                  <c:v>-17.918207397968651</c:v>
                </c:pt>
                <c:pt idx="11">
                  <c:v>-11.199899161376678</c:v>
                </c:pt>
                <c:pt idx="12">
                  <c:v>-3.1792131662770089</c:v>
                </c:pt>
                <c:pt idx="13">
                  <c:v>5.4123186771449241</c:v>
                </c:pt>
                <c:pt idx="14">
                  <c:v>13.176600605487067</c:v>
                </c:pt>
                <c:pt idx="15">
                  <c:v>19.614005972906384</c:v>
                </c:pt>
                <c:pt idx="16">
                  <c:v>24.657682526323612</c:v>
                </c:pt>
                <c:pt idx="17">
                  <c:v>28.358129320885809</c:v>
                </c:pt>
                <c:pt idx="18">
                  <c:v>30.813830931870001</c:v>
                </c:pt>
                <c:pt idx="19">
                  <c:v>32.151116156345267</c:v>
                </c:pt>
                <c:pt idx="20">
                  <c:v>32.508698287670242</c:v>
                </c:pt>
                <c:pt idx="21">
                  <c:v>32.02529702883686</c:v>
                </c:pt>
                <c:pt idx="22">
                  <c:v>30.831630071030304</c:v>
                </c:pt>
                <c:pt idx="23">
                  <c:v>29.046254130302813</c:v>
                </c:pt>
                <c:pt idx="24">
                  <c:v>26.773990415701249</c:v>
                </c:pt>
                <c:pt idx="25">
                  <c:v>24.105786909501319</c:v>
                </c:pt>
                <c:pt idx="26">
                  <c:v>21.119234924235514</c:v>
                </c:pt>
                <c:pt idx="27">
                  <c:v>17.879290275891591</c:v>
                </c:pt>
                <c:pt idx="28">
                  <c:v>14.438985282872139</c:v>
                </c:pt>
                <c:pt idx="29">
                  <c:v>10.840072533385637</c:v>
                </c:pt>
                <c:pt idx="30">
                  <c:v>7.1136500194926384</c:v>
                </c:pt>
                <c:pt idx="31">
                  <c:v>3.2808961795338973</c:v>
                </c:pt>
                <c:pt idx="32">
                  <c:v>-0.64587560585246706</c:v>
                </c:pt>
                <c:pt idx="33">
                  <c:v>-4.6616067011367903</c:v>
                </c:pt>
                <c:pt idx="34">
                  <c:v>-8.7661241607029297</c:v>
                </c:pt>
                <c:pt idx="35">
                  <c:v>-12.960992314772206</c:v>
                </c:pt>
                <c:pt idx="36">
                  <c:v>-17.245866803769815</c:v>
                </c:pt>
                <c:pt idx="37">
                  <c:v>-21.614969127085914</c:v>
                </c:pt>
                <c:pt idx="38">
                  <c:v>-26.054396075894047</c:v>
                </c:pt>
                <c:pt idx="39">
                  <c:v>-30.540735956991455</c:v>
                </c:pt>
                <c:pt idx="40">
                  <c:v>-35.04095061101323</c:v>
                </c:pt>
                <c:pt idx="41">
                  <c:v>-39.513063607069924</c:v>
                </c:pt>
                <c:pt idx="42">
                  <c:v>-43.907028697586284</c:v>
                </c:pt>
                <c:pt idx="43">
                  <c:v>-48.165325821847283</c:v>
                </c:pt>
                <c:pt idx="44">
                  <c:v>-52.22306635930255</c:v>
                </c:pt>
                <c:pt idx="45">
                  <c:v>-56.007569596899167</c:v>
                </c:pt>
                <c:pt idx="46">
                  <c:v>-59.43748539004018</c:v>
                </c:pt>
                <c:pt idx="47">
                  <c:v>-62.421556589648475</c:v>
                </c:pt>
                <c:pt idx="48">
                  <c:v>-64.857141385258046</c:v>
                </c:pt>
                <c:pt idx="49">
                  <c:v>-66.628695646768563</c:v>
                </c:pt>
                <c:pt idx="50">
                  <c:v>-67.606625987709066</c:v>
                </c:pt>
                <c:pt idx="51">
                  <c:v>-67.647369082113599</c:v>
                </c:pt>
                <c:pt idx="52">
                  <c:v>-66.596385968660371</c:v>
                </c:pt>
                <c:pt idx="53">
                  <c:v>-64.297176519169128</c:v>
                </c:pt>
                <c:pt idx="54">
                  <c:v>-60.611553829521668</c:v>
                </c:pt>
                <c:pt idx="55">
                  <c:v>-55.458888149785871</c:v>
                </c:pt>
                <c:pt idx="56">
                  <c:v>-48.88308457707975</c:v>
                </c:pt>
                <c:pt idx="57">
                  <c:v>-41.149867158760649</c:v>
                </c:pt>
                <c:pt idx="58">
                  <c:v>-32.848372004189947</c:v>
                </c:pt>
                <c:pt idx="59">
                  <c:v>-24.87484306028594</c:v>
                </c:pt>
                <c:pt idx="60">
                  <c:v>-17.918207397968928</c:v>
                </c:pt>
                <c:pt idx="61">
                  <c:v>-11.199899161376649</c:v>
                </c:pt>
                <c:pt idx="62">
                  <c:v>-3.1792131662771652</c:v>
                </c:pt>
                <c:pt idx="63">
                  <c:v>5.4123186771447394</c:v>
                </c:pt>
                <c:pt idx="64">
                  <c:v>13.176600605487039</c:v>
                </c:pt>
                <c:pt idx="65">
                  <c:v>19.614005972906298</c:v>
                </c:pt>
                <c:pt idx="66">
                  <c:v>24.657682526323427</c:v>
                </c:pt>
                <c:pt idx="67">
                  <c:v>28.358129320886007</c:v>
                </c:pt>
                <c:pt idx="68">
                  <c:v>30.813830931869958</c:v>
                </c:pt>
                <c:pt idx="69">
                  <c:v>32.151116156345211</c:v>
                </c:pt>
                <c:pt idx="70">
                  <c:v>32.508698287670256</c:v>
                </c:pt>
                <c:pt idx="71">
                  <c:v>32.02529702883686</c:v>
                </c:pt>
                <c:pt idx="72">
                  <c:v>30.831630071030318</c:v>
                </c:pt>
                <c:pt idx="73">
                  <c:v>29.046254130302856</c:v>
                </c:pt>
                <c:pt idx="74">
                  <c:v>26.773990415695991</c:v>
                </c:pt>
                <c:pt idx="75">
                  <c:v>24.105786909501475</c:v>
                </c:pt>
                <c:pt idx="76">
                  <c:v>21.119234924235599</c:v>
                </c:pt>
                <c:pt idx="77">
                  <c:v>17.879290275891719</c:v>
                </c:pt>
                <c:pt idx="78">
                  <c:v>14.438985282872252</c:v>
                </c:pt>
                <c:pt idx="79">
                  <c:v>10.840072533385722</c:v>
                </c:pt>
                <c:pt idx="80">
                  <c:v>7.11365001949261</c:v>
                </c:pt>
                <c:pt idx="81">
                  <c:v>3.2808961795339684</c:v>
                </c:pt>
                <c:pt idx="82">
                  <c:v>-0.64587560585236758</c:v>
                </c:pt>
                <c:pt idx="83">
                  <c:v>-4.6616067011367335</c:v>
                </c:pt>
                <c:pt idx="84">
                  <c:v>-8.7661241607028728</c:v>
                </c:pt>
                <c:pt idx="85">
                  <c:v>-12.960992314772227</c:v>
                </c:pt>
                <c:pt idx="86">
                  <c:v>-17.2458668037698</c:v>
                </c:pt>
                <c:pt idx="87">
                  <c:v>-21.614969127085885</c:v>
                </c:pt>
                <c:pt idx="88">
                  <c:v>-26.054396075893933</c:v>
                </c:pt>
                <c:pt idx="89">
                  <c:v>-30.540735956991441</c:v>
                </c:pt>
                <c:pt idx="90">
                  <c:v>-35.04095061101328</c:v>
                </c:pt>
                <c:pt idx="91">
                  <c:v>-39.513063607069853</c:v>
                </c:pt>
                <c:pt idx="92">
                  <c:v>-43.907028697586355</c:v>
                </c:pt>
                <c:pt idx="93">
                  <c:v>-48.165325821847183</c:v>
                </c:pt>
                <c:pt idx="94">
                  <c:v>-52.223066359302393</c:v>
                </c:pt>
                <c:pt idx="95">
                  <c:v>-56.007569596901895</c:v>
                </c:pt>
                <c:pt idx="96">
                  <c:v>-59.437485390040088</c:v>
                </c:pt>
                <c:pt idx="97">
                  <c:v>-62.421556589648489</c:v>
                </c:pt>
                <c:pt idx="98">
                  <c:v>-64.85714138527095</c:v>
                </c:pt>
                <c:pt idx="99">
                  <c:v>-66.628695646768463</c:v>
                </c:pt>
                <c:pt idx="100">
                  <c:v>-67.60662598770908</c:v>
                </c:pt>
                <c:pt idx="101">
                  <c:v>-67.64736908211357</c:v>
                </c:pt>
                <c:pt idx="102">
                  <c:v>-66.596385968660428</c:v>
                </c:pt>
                <c:pt idx="103">
                  <c:v>-64.297176519169057</c:v>
                </c:pt>
                <c:pt idx="104">
                  <c:v>-60.611553829521782</c:v>
                </c:pt>
                <c:pt idx="105">
                  <c:v>-55.458888149785807</c:v>
                </c:pt>
                <c:pt idx="106">
                  <c:v>-48.8830845770796</c:v>
                </c:pt>
                <c:pt idx="107">
                  <c:v>-41.149867158760635</c:v>
                </c:pt>
                <c:pt idx="108">
                  <c:v>-32.84837200418972</c:v>
                </c:pt>
                <c:pt idx="109">
                  <c:v>-24.874843060285556</c:v>
                </c:pt>
                <c:pt idx="110">
                  <c:v>-17.918207397968686</c:v>
                </c:pt>
                <c:pt idx="111">
                  <c:v>-11.199899161376436</c:v>
                </c:pt>
                <c:pt idx="112">
                  <c:v>-3.179213166276881</c:v>
                </c:pt>
                <c:pt idx="113">
                  <c:v>5.4123186771450378</c:v>
                </c:pt>
                <c:pt idx="114">
                  <c:v>13.176600605487238</c:v>
                </c:pt>
                <c:pt idx="115">
                  <c:v>19.614005972906426</c:v>
                </c:pt>
                <c:pt idx="116">
                  <c:v>24.657682526323796</c:v>
                </c:pt>
                <c:pt idx="117">
                  <c:v>28.358129320885951</c:v>
                </c:pt>
                <c:pt idx="118">
                  <c:v>30.813830931870044</c:v>
                </c:pt>
                <c:pt idx="119">
                  <c:v>32.151116156345211</c:v>
                </c:pt>
                <c:pt idx="120">
                  <c:v>32.508698287670299</c:v>
                </c:pt>
                <c:pt idx="121">
                  <c:v>32.025297028836746</c:v>
                </c:pt>
                <c:pt idx="122">
                  <c:v>30.831630071030261</c:v>
                </c:pt>
                <c:pt idx="123">
                  <c:v>29.046254130301421</c:v>
                </c:pt>
                <c:pt idx="124">
                  <c:v>26.773990415700951</c:v>
                </c:pt>
                <c:pt idx="125">
                  <c:v>24.10578690950139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8F-47E3-874C-D995AB0EC6F2}"/>
            </c:ext>
          </c:extLst>
        </c:ser>
        <c:ser>
          <c:idx val="1"/>
          <c:order val="1"/>
          <c:tx>
            <c:strRef>
              <c:f>Sheet1!$D$2:$D$3</c:f>
              <c:strCache>
                <c:ptCount val="2"/>
                <c:pt idx="0">
                  <c:v>Leg 2_X</c:v>
                </c:pt>
                <c:pt idx="1">
                  <c:v>Linear Displacement3 (mm)</c:v>
                </c:pt>
              </c:strCache>
            </c:strRef>
          </c:tx>
          <c:marker>
            <c:symbol val="none"/>
          </c:marker>
          <c:xVal>
            <c:numRef>
              <c:f>Sheet1!$B$5:$B$130</c:f>
              <c:numCache>
                <c:formatCode>0.00</c:formatCode>
                <c:ptCount val="126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0.24000000000000002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0.39999999999999997</c:v>
                </c:pt>
                <c:pt idx="11">
                  <c:v>0.43999999999999995</c:v>
                </c:pt>
                <c:pt idx="12">
                  <c:v>0.47999999999999993</c:v>
                </c:pt>
                <c:pt idx="13">
                  <c:v>0.51999999999999991</c:v>
                </c:pt>
                <c:pt idx="14">
                  <c:v>0.55999999999999994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0.72000000000000008</c:v>
                </c:pt>
                <c:pt idx="19">
                  <c:v>0.76000000000000012</c:v>
                </c:pt>
                <c:pt idx="20">
                  <c:v>0.80000000000000016</c:v>
                </c:pt>
                <c:pt idx="21">
                  <c:v>0.84000000000000019</c:v>
                </c:pt>
                <c:pt idx="22">
                  <c:v>0.88000000000000023</c:v>
                </c:pt>
                <c:pt idx="23">
                  <c:v>0.92000000000000026</c:v>
                </c:pt>
                <c:pt idx="24">
                  <c:v>0.9600000000000003</c:v>
                </c:pt>
                <c:pt idx="25">
                  <c:v>1.0000000000000002</c:v>
                </c:pt>
                <c:pt idx="26">
                  <c:v>1.0400000000000003</c:v>
                </c:pt>
                <c:pt idx="27">
                  <c:v>1.0800000000000003</c:v>
                </c:pt>
                <c:pt idx="28">
                  <c:v>1.1200000000000003</c:v>
                </c:pt>
                <c:pt idx="29">
                  <c:v>1.1600000000000004</c:v>
                </c:pt>
                <c:pt idx="30">
                  <c:v>1.2000000000000004</c:v>
                </c:pt>
                <c:pt idx="31">
                  <c:v>1.2400000000000004</c:v>
                </c:pt>
                <c:pt idx="32">
                  <c:v>1.2800000000000005</c:v>
                </c:pt>
                <c:pt idx="33">
                  <c:v>1.3200000000000005</c:v>
                </c:pt>
                <c:pt idx="34">
                  <c:v>1.3600000000000005</c:v>
                </c:pt>
                <c:pt idx="35">
                  <c:v>1.4000000000000006</c:v>
                </c:pt>
                <c:pt idx="36">
                  <c:v>1.4400000000000006</c:v>
                </c:pt>
                <c:pt idx="37">
                  <c:v>1.4800000000000006</c:v>
                </c:pt>
                <c:pt idx="38">
                  <c:v>1.5200000000000007</c:v>
                </c:pt>
                <c:pt idx="39">
                  <c:v>1.5600000000000007</c:v>
                </c:pt>
                <c:pt idx="40">
                  <c:v>1.6000000000000008</c:v>
                </c:pt>
                <c:pt idx="41">
                  <c:v>1.6400000000000008</c:v>
                </c:pt>
                <c:pt idx="42">
                  <c:v>1.6800000000000008</c:v>
                </c:pt>
                <c:pt idx="43">
                  <c:v>1.7200000000000009</c:v>
                </c:pt>
                <c:pt idx="44">
                  <c:v>1.7600000000000009</c:v>
                </c:pt>
                <c:pt idx="45">
                  <c:v>1.8000000000000009</c:v>
                </c:pt>
                <c:pt idx="46">
                  <c:v>1.840000000000001</c:v>
                </c:pt>
                <c:pt idx="47">
                  <c:v>1.880000000000001</c:v>
                </c:pt>
                <c:pt idx="48">
                  <c:v>1.920000000000001</c:v>
                </c:pt>
                <c:pt idx="49">
                  <c:v>1.9600000000000011</c:v>
                </c:pt>
                <c:pt idx="50">
                  <c:v>2.0000000000000009</c:v>
                </c:pt>
                <c:pt idx="51">
                  <c:v>2.0400000000000009</c:v>
                </c:pt>
                <c:pt idx="52">
                  <c:v>2.080000000000001</c:v>
                </c:pt>
                <c:pt idx="53">
                  <c:v>2.120000000000001</c:v>
                </c:pt>
                <c:pt idx="54">
                  <c:v>2.160000000000001</c:v>
                </c:pt>
                <c:pt idx="55">
                  <c:v>2.2000000000000011</c:v>
                </c:pt>
                <c:pt idx="56">
                  <c:v>2.2400000000000011</c:v>
                </c:pt>
                <c:pt idx="57">
                  <c:v>2.2800000000000011</c:v>
                </c:pt>
                <c:pt idx="58">
                  <c:v>2.3200000000000012</c:v>
                </c:pt>
                <c:pt idx="59">
                  <c:v>2.3600000000000012</c:v>
                </c:pt>
                <c:pt idx="60">
                  <c:v>2.4000000000000012</c:v>
                </c:pt>
                <c:pt idx="61">
                  <c:v>2.4400000000000013</c:v>
                </c:pt>
                <c:pt idx="62">
                  <c:v>2.4800000000000013</c:v>
                </c:pt>
                <c:pt idx="63">
                  <c:v>2.5200000000000014</c:v>
                </c:pt>
                <c:pt idx="64">
                  <c:v>2.5600000000000014</c:v>
                </c:pt>
                <c:pt idx="65">
                  <c:v>2.6000000000000014</c:v>
                </c:pt>
                <c:pt idx="66">
                  <c:v>2.6400000000000015</c:v>
                </c:pt>
                <c:pt idx="67">
                  <c:v>2.6800000000000015</c:v>
                </c:pt>
                <c:pt idx="68">
                  <c:v>2.7200000000000015</c:v>
                </c:pt>
                <c:pt idx="69">
                  <c:v>2.7600000000000016</c:v>
                </c:pt>
                <c:pt idx="70">
                  <c:v>2.8000000000000016</c:v>
                </c:pt>
                <c:pt idx="71">
                  <c:v>2.8400000000000016</c:v>
                </c:pt>
                <c:pt idx="72">
                  <c:v>2.8800000000000017</c:v>
                </c:pt>
                <c:pt idx="73">
                  <c:v>2.9200000000000017</c:v>
                </c:pt>
                <c:pt idx="74">
                  <c:v>2.9600000000000017</c:v>
                </c:pt>
                <c:pt idx="75">
                  <c:v>3.0000000000000018</c:v>
                </c:pt>
                <c:pt idx="76">
                  <c:v>3.0400000000000018</c:v>
                </c:pt>
                <c:pt idx="77">
                  <c:v>3.0800000000000018</c:v>
                </c:pt>
                <c:pt idx="78">
                  <c:v>3.1200000000000019</c:v>
                </c:pt>
                <c:pt idx="79">
                  <c:v>3.1600000000000019</c:v>
                </c:pt>
                <c:pt idx="80">
                  <c:v>3.200000000000002</c:v>
                </c:pt>
                <c:pt idx="81">
                  <c:v>3.240000000000002</c:v>
                </c:pt>
                <c:pt idx="82">
                  <c:v>3.280000000000002</c:v>
                </c:pt>
                <c:pt idx="83">
                  <c:v>3.3200000000000021</c:v>
                </c:pt>
                <c:pt idx="84">
                  <c:v>3.3600000000000021</c:v>
                </c:pt>
                <c:pt idx="85">
                  <c:v>3.4000000000000021</c:v>
                </c:pt>
                <c:pt idx="86">
                  <c:v>3.4400000000000022</c:v>
                </c:pt>
                <c:pt idx="87">
                  <c:v>3.4800000000000022</c:v>
                </c:pt>
                <c:pt idx="88">
                  <c:v>3.5200000000000022</c:v>
                </c:pt>
                <c:pt idx="89">
                  <c:v>3.5600000000000023</c:v>
                </c:pt>
                <c:pt idx="90">
                  <c:v>3.6000000000000023</c:v>
                </c:pt>
                <c:pt idx="91">
                  <c:v>3.6400000000000023</c:v>
                </c:pt>
                <c:pt idx="92">
                  <c:v>3.6800000000000024</c:v>
                </c:pt>
                <c:pt idx="93">
                  <c:v>3.7200000000000024</c:v>
                </c:pt>
                <c:pt idx="94">
                  <c:v>3.7600000000000025</c:v>
                </c:pt>
                <c:pt idx="95">
                  <c:v>3.8000000000000025</c:v>
                </c:pt>
                <c:pt idx="96">
                  <c:v>3.8400000000000025</c:v>
                </c:pt>
                <c:pt idx="97">
                  <c:v>3.8800000000000026</c:v>
                </c:pt>
                <c:pt idx="98">
                  <c:v>3.9200000000000026</c:v>
                </c:pt>
                <c:pt idx="99">
                  <c:v>3.9600000000000026</c:v>
                </c:pt>
                <c:pt idx="100">
                  <c:v>4.0000000000000027</c:v>
                </c:pt>
                <c:pt idx="101">
                  <c:v>4.0400000000000027</c:v>
                </c:pt>
                <c:pt idx="102">
                  <c:v>4.0800000000000027</c:v>
                </c:pt>
                <c:pt idx="103">
                  <c:v>4.1200000000000028</c:v>
                </c:pt>
                <c:pt idx="104">
                  <c:v>4.1600000000000028</c:v>
                </c:pt>
                <c:pt idx="105">
                  <c:v>4.2000000000000028</c:v>
                </c:pt>
                <c:pt idx="106">
                  <c:v>4.2400000000000029</c:v>
                </c:pt>
                <c:pt idx="107">
                  <c:v>4.2800000000000029</c:v>
                </c:pt>
                <c:pt idx="108">
                  <c:v>4.3200000000000029</c:v>
                </c:pt>
                <c:pt idx="109">
                  <c:v>4.360000000000003</c:v>
                </c:pt>
                <c:pt idx="110">
                  <c:v>4.400000000000003</c:v>
                </c:pt>
                <c:pt idx="111">
                  <c:v>4.4400000000000031</c:v>
                </c:pt>
                <c:pt idx="112">
                  <c:v>4.4800000000000031</c:v>
                </c:pt>
                <c:pt idx="113">
                  <c:v>4.5200000000000031</c:v>
                </c:pt>
                <c:pt idx="114">
                  <c:v>4.5600000000000032</c:v>
                </c:pt>
                <c:pt idx="115">
                  <c:v>4.6000000000000032</c:v>
                </c:pt>
                <c:pt idx="116">
                  <c:v>4.6400000000000032</c:v>
                </c:pt>
                <c:pt idx="117">
                  <c:v>4.6800000000000033</c:v>
                </c:pt>
                <c:pt idx="118">
                  <c:v>4.7200000000000033</c:v>
                </c:pt>
                <c:pt idx="119">
                  <c:v>4.7600000000000033</c:v>
                </c:pt>
                <c:pt idx="120">
                  <c:v>4.8000000000000034</c:v>
                </c:pt>
                <c:pt idx="121">
                  <c:v>4.8400000000000034</c:v>
                </c:pt>
                <c:pt idx="122">
                  <c:v>4.8800000000000034</c:v>
                </c:pt>
                <c:pt idx="123">
                  <c:v>4.9200000000000035</c:v>
                </c:pt>
                <c:pt idx="124">
                  <c:v>4.9600000000000035</c:v>
                </c:pt>
                <c:pt idx="125">
                  <c:v>5</c:v>
                </c:pt>
              </c:numCache>
            </c:numRef>
          </c:xVal>
          <c:yVal>
            <c:numRef>
              <c:f>Sheet1!$D$5:$D$130</c:f>
              <c:numCache>
                <c:formatCode>0.00</c:formatCode>
                <c:ptCount val="126"/>
                <c:pt idx="0">
                  <c:v>-181.87996992861389</c:v>
                </c:pt>
                <c:pt idx="1">
                  <c:v>-180.2417480400652</c:v>
                </c:pt>
                <c:pt idx="2">
                  <c:v>-177.44768278407477</c:v>
                </c:pt>
                <c:pt idx="3">
                  <c:v>-173.37763899858837</c:v>
                </c:pt>
                <c:pt idx="4">
                  <c:v>-167.94405544466335</c:v>
                </c:pt>
                <c:pt idx="5">
                  <c:v>-161.11731486255192</c:v>
                </c:pt>
                <c:pt idx="6">
                  <c:v>-153.03582424791128</c:v>
                </c:pt>
                <c:pt idx="7">
                  <c:v>-144.43171973539626</c:v>
                </c:pt>
                <c:pt idx="8">
                  <c:v>-136.81857107763753</c:v>
                </c:pt>
                <c:pt idx="9">
                  <c:v>-130.22120457385435</c:v>
                </c:pt>
                <c:pt idx="10">
                  <c:v>-122.96958271591832</c:v>
                </c:pt>
                <c:pt idx="11">
                  <c:v>-114.80661821665289</c:v>
                </c:pt>
                <c:pt idx="12">
                  <c:v>-106.5845841311683</c:v>
                </c:pt>
                <c:pt idx="13">
                  <c:v>-99.132940003831663</c:v>
                </c:pt>
                <c:pt idx="14">
                  <c:v>-92.942334501298674</c:v>
                </c:pt>
                <c:pt idx="15">
                  <c:v>-88.204958418022414</c:v>
                </c:pt>
                <c:pt idx="16">
                  <c:v>-84.921045189849892</c:v>
                </c:pt>
                <c:pt idx="17">
                  <c:v>-82.98834790942125</c:v>
                </c:pt>
                <c:pt idx="18">
                  <c:v>-82.26053827749422</c:v>
                </c:pt>
                <c:pt idx="19">
                  <c:v>-82.580229609872092</c:v>
                </c:pt>
                <c:pt idx="20">
                  <c:v>-83.795396096312672</c:v>
                </c:pt>
                <c:pt idx="21">
                  <c:v>-85.766271282066626</c:v>
                </c:pt>
                <c:pt idx="22">
                  <c:v>-88.367282177606469</c:v>
                </c:pt>
                <c:pt idx="23">
                  <c:v>-91.486657902527881</c:v>
                </c:pt>
                <c:pt idx="24">
                  <c:v>-95.025116833592264</c:v>
                </c:pt>
                <c:pt idx="25">
                  <c:v>-98.89433107291751</c:v>
                </c:pt>
                <c:pt idx="26">
                  <c:v>-103.01550130720963</c:v>
                </c:pt>
                <c:pt idx="27">
                  <c:v>-107.31820989343629</c:v>
                </c:pt>
                <c:pt idx="28">
                  <c:v>-111.73966236991893</c:v>
                </c:pt>
                <c:pt idx="29">
                  <c:v>-116.22440837351273</c:v>
                </c:pt>
                <c:pt idx="30">
                  <c:v>-120.72459385894003</c:v>
                </c:pt>
                <c:pt idx="31">
                  <c:v>-125.20066603204771</c:v>
                </c:pt>
                <c:pt idx="32">
                  <c:v>-129.6222506372435</c:v>
                </c:pt>
                <c:pt idx="33">
                  <c:v>-133.96867135327145</c:v>
                </c:pt>
                <c:pt idx="34">
                  <c:v>-138.22851062287776</c:v>
                </c:pt>
                <c:pt idx="35">
                  <c:v>-142.39783975759241</c:v>
                </c:pt>
                <c:pt idx="36">
                  <c:v>-146.47722673820593</c:v>
                </c:pt>
                <c:pt idx="37">
                  <c:v>-150.46810335008004</c:v>
                </c:pt>
                <c:pt idx="38">
                  <c:v>-154.36920899008615</c:v>
                </c:pt>
                <c:pt idx="39">
                  <c:v>-158.17364826326551</c:v>
                </c:pt>
                <c:pt idx="40">
                  <c:v>-161.86674661960254</c:v>
                </c:pt>
                <c:pt idx="41">
                  <c:v>-165.42462357919251</c:v>
                </c:pt>
                <c:pt idx="42">
                  <c:v>-168.81324971374534</c:v>
                </c:pt>
                <c:pt idx="43">
                  <c:v>-171.98776093895401</c:v>
                </c:pt>
                <c:pt idx="44">
                  <c:v>-174.89183778864106</c:v>
                </c:pt>
                <c:pt idx="45">
                  <c:v>-177.45704372184477</c:v>
                </c:pt>
                <c:pt idx="46">
                  <c:v>-179.60209891372293</c:v>
                </c:pt>
                <c:pt idx="47">
                  <c:v>-181.232186625146</c:v>
                </c:pt>
                <c:pt idx="48">
                  <c:v>-182.23856264108429</c:v>
                </c:pt>
                <c:pt idx="49">
                  <c:v>-182.49900175711252</c:v>
                </c:pt>
                <c:pt idx="50">
                  <c:v>-181.87996992861483</c:v>
                </c:pt>
                <c:pt idx="51">
                  <c:v>-180.24174804006529</c:v>
                </c:pt>
                <c:pt idx="52">
                  <c:v>-177.447682784075</c:v>
                </c:pt>
                <c:pt idx="53">
                  <c:v>-173.37763899858851</c:v>
                </c:pt>
                <c:pt idx="54">
                  <c:v>-167.94405544466338</c:v>
                </c:pt>
                <c:pt idx="55">
                  <c:v>-161.11731486255209</c:v>
                </c:pt>
                <c:pt idx="56">
                  <c:v>-153.03582424791148</c:v>
                </c:pt>
                <c:pt idx="57">
                  <c:v>-144.43171973539629</c:v>
                </c:pt>
                <c:pt idx="58">
                  <c:v>-136.81857107763778</c:v>
                </c:pt>
                <c:pt idx="59">
                  <c:v>-130.22120457385435</c:v>
                </c:pt>
                <c:pt idx="60">
                  <c:v>-122.96958271591842</c:v>
                </c:pt>
                <c:pt idx="61">
                  <c:v>-114.80661821665316</c:v>
                </c:pt>
                <c:pt idx="62">
                  <c:v>-106.58458413116837</c:v>
                </c:pt>
                <c:pt idx="63">
                  <c:v>-99.132940003831877</c:v>
                </c:pt>
                <c:pt idx="64">
                  <c:v>-92.942334501298674</c:v>
                </c:pt>
                <c:pt idx="65">
                  <c:v>-88.204958418022414</c:v>
                </c:pt>
                <c:pt idx="66">
                  <c:v>-84.921045189850076</c:v>
                </c:pt>
                <c:pt idx="67">
                  <c:v>-82.988347909421762</c:v>
                </c:pt>
                <c:pt idx="68">
                  <c:v>-82.260538277494177</c:v>
                </c:pt>
                <c:pt idx="69">
                  <c:v>-82.580229609871878</c:v>
                </c:pt>
                <c:pt idx="70">
                  <c:v>-83.795396096312672</c:v>
                </c:pt>
                <c:pt idx="71">
                  <c:v>-85.766271282066597</c:v>
                </c:pt>
                <c:pt idx="72">
                  <c:v>-88.367282177606455</c:v>
                </c:pt>
                <c:pt idx="73">
                  <c:v>-91.486657902527682</c:v>
                </c:pt>
                <c:pt idx="74">
                  <c:v>-95.025116833587049</c:v>
                </c:pt>
                <c:pt idx="75">
                  <c:v>-98.894331072917396</c:v>
                </c:pt>
                <c:pt idx="76">
                  <c:v>-103.01550130720958</c:v>
                </c:pt>
                <c:pt idx="77">
                  <c:v>-107.3182098934362</c:v>
                </c:pt>
                <c:pt idx="78">
                  <c:v>-111.73966236991883</c:v>
                </c:pt>
                <c:pt idx="79">
                  <c:v>-116.22440837351253</c:v>
                </c:pt>
                <c:pt idx="80">
                  <c:v>-120.72459385894</c:v>
                </c:pt>
                <c:pt idx="81">
                  <c:v>-125.20066603204768</c:v>
                </c:pt>
                <c:pt idx="82">
                  <c:v>-129.62225063724333</c:v>
                </c:pt>
                <c:pt idx="83">
                  <c:v>-133.9686713532715</c:v>
                </c:pt>
                <c:pt idx="84">
                  <c:v>-138.22851062287799</c:v>
                </c:pt>
                <c:pt idx="85">
                  <c:v>-142.39783975759235</c:v>
                </c:pt>
                <c:pt idx="86">
                  <c:v>-146.4772267382059</c:v>
                </c:pt>
                <c:pt idx="87">
                  <c:v>-150.46810335007999</c:v>
                </c:pt>
                <c:pt idx="88">
                  <c:v>-154.36920899008615</c:v>
                </c:pt>
                <c:pt idx="89">
                  <c:v>-158.17364826326545</c:v>
                </c:pt>
                <c:pt idx="90">
                  <c:v>-161.86674661960251</c:v>
                </c:pt>
                <c:pt idx="91">
                  <c:v>-165.42462357919251</c:v>
                </c:pt>
                <c:pt idx="92">
                  <c:v>-168.81324971374528</c:v>
                </c:pt>
                <c:pt idx="93">
                  <c:v>-171.98776093895395</c:v>
                </c:pt>
                <c:pt idx="94">
                  <c:v>-174.89183778864108</c:v>
                </c:pt>
                <c:pt idx="95">
                  <c:v>-177.45704372184522</c:v>
                </c:pt>
                <c:pt idx="96">
                  <c:v>-179.6020989137229</c:v>
                </c:pt>
                <c:pt idx="97">
                  <c:v>-181.232186625146</c:v>
                </c:pt>
                <c:pt idx="98">
                  <c:v>-182.23856264107701</c:v>
                </c:pt>
                <c:pt idx="99">
                  <c:v>-182.49900175711255</c:v>
                </c:pt>
                <c:pt idx="100">
                  <c:v>-181.87996992861477</c:v>
                </c:pt>
                <c:pt idx="101">
                  <c:v>-180.24174804006537</c:v>
                </c:pt>
                <c:pt idx="102">
                  <c:v>-177.44768278407506</c:v>
                </c:pt>
                <c:pt idx="103">
                  <c:v>-173.37763899858862</c:v>
                </c:pt>
                <c:pt idx="104">
                  <c:v>-167.94405544466352</c:v>
                </c:pt>
                <c:pt idx="105">
                  <c:v>-161.11731486255215</c:v>
                </c:pt>
                <c:pt idx="106">
                  <c:v>-153.03582424791145</c:v>
                </c:pt>
                <c:pt idx="107">
                  <c:v>-144.43171973539631</c:v>
                </c:pt>
                <c:pt idx="108">
                  <c:v>-136.81857107763747</c:v>
                </c:pt>
                <c:pt idx="109">
                  <c:v>-130.22120457385424</c:v>
                </c:pt>
                <c:pt idx="110">
                  <c:v>-122.96958271591839</c:v>
                </c:pt>
                <c:pt idx="111">
                  <c:v>-114.80661821665286</c:v>
                </c:pt>
                <c:pt idx="112">
                  <c:v>-106.58458413116821</c:v>
                </c:pt>
                <c:pt idx="113">
                  <c:v>-99.13294000383172</c:v>
                </c:pt>
                <c:pt idx="114">
                  <c:v>-92.942334501298433</c:v>
                </c:pt>
                <c:pt idx="115">
                  <c:v>-88.20495841802223</c:v>
                </c:pt>
                <c:pt idx="116">
                  <c:v>-84.921045189849963</c:v>
                </c:pt>
                <c:pt idx="117">
                  <c:v>-82.988347909421321</c:v>
                </c:pt>
                <c:pt idx="118">
                  <c:v>-82.260538277494135</c:v>
                </c:pt>
                <c:pt idx="119">
                  <c:v>-82.580229609871949</c:v>
                </c:pt>
                <c:pt idx="120">
                  <c:v>-83.7953960963127</c:v>
                </c:pt>
                <c:pt idx="121">
                  <c:v>-85.766271282066739</c:v>
                </c:pt>
                <c:pt idx="122">
                  <c:v>-88.367282177606839</c:v>
                </c:pt>
                <c:pt idx="123">
                  <c:v>-91.486657902531377</c:v>
                </c:pt>
                <c:pt idx="124">
                  <c:v>-95.025116833592435</c:v>
                </c:pt>
                <c:pt idx="125">
                  <c:v>-98.894331072917396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8F-47E3-874C-D995AB0EC6F2}"/>
            </c:ext>
          </c:extLst>
        </c:ser>
        <c:ser>
          <c:idx val="2"/>
          <c:order val="2"/>
          <c:tx>
            <c:strRef>
              <c:f>Sheet1!$F$2:$F$3</c:f>
              <c:strCache>
                <c:ptCount val="2"/>
                <c:pt idx="0">
                  <c:v>Leg 4_X</c:v>
                </c:pt>
                <c:pt idx="1">
                  <c:v>Linear Displacement4 (mm)</c:v>
                </c:pt>
              </c:strCache>
            </c:strRef>
          </c:tx>
          <c:marker>
            <c:symbol val="none"/>
          </c:marker>
          <c:xVal>
            <c:numRef>
              <c:f>Sheet1!$B$5:$B$130</c:f>
              <c:numCache>
                <c:formatCode>0.00</c:formatCode>
                <c:ptCount val="126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0.24000000000000002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0.39999999999999997</c:v>
                </c:pt>
                <c:pt idx="11">
                  <c:v>0.43999999999999995</c:v>
                </c:pt>
                <c:pt idx="12">
                  <c:v>0.47999999999999993</c:v>
                </c:pt>
                <c:pt idx="13">
                  <c:v>0.51999999999999991</c:v>
                </c:pt>
                <c:pt idx="14">
                  <c:v>0.55999999999999994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0.72000000000000008</c:v>
                </c:pt>
                <c:pt idx="19">
                  <c:v>0.76000000000000012</c:v>
                </c:pt>
                <c:pt idx="20">
                  <c:v>0.80000000000000016</c:v>
                </c:pt>
                <c:pt idx="21">
                  <c:v>0.84000000000000019</c:v>
                </c:pt>
                <c:pt idx="22">
                  <c:v>0.88000000000000023</c:v>
                </c:pt>
                <c:pt idx="23">
                  <c:v>0.92000000000000026</c:v>
                </c:pt>
                <c:pt idx="24">
                  <c:v>0.9600000000000003</c:v>
                </c:pt>
                <c:pt idx="25">
                  <c:v>1.0000000000000002</c:v>
                </c:pt>
                <c:pt idx="26">
                  <c:v>1.0400000000000003</c:v>
                </c:pt>
                <c:pt idx="27">
                  <c:v>1.0800000000000003</c:v>
                </c:pt>
                <c:pt idx="28">
                  <c:v>1.1200000000000003</c:v>
                </c:pt>
                <c:pt idx="29">
                  <c:v>1.1600000000000004</c:v>
                </c:pt>
                <c:pt idx="30">
                  <c:v>1.2000000000000004</c:v>
                </c:pt>
                <c:pt idx="31">
                  <c:v>1.2400000000000004</c:v>
                </c:pt>
                <c:pt idx="32">
                  <c:v>1.2800000000000005</c:v>
                </c:pt>
                <c:pt idx="33">
                  <c:v>1.3200000000000005</c:v>
                </c:pt>
                <c:pt idx="34">
                  <c:v>1.3600000000000005</c:v>
                </c:pt>
                <c:pt idx="35">
                  <c:v>1.4000000000000006</c:v>
                </c:pt>
                <c:pt idx="36">
                  <c:v>1.4400000000000006</c:v>
                </c:pt>
                <c:pt idx="37">
                  <c:v>1.4800000000000006</c:v>
                </c:pt>
                <c:pt idx="38">
                  <c:v>1.5200000000000007</c:v>
                </c:pt>
                <c:pt idx="39">
                  <c:v>1.5600000000000007</c:v>
                </c:pt>
                <c:pt idx="40">
                  <c:v>1.6000000000000008</c:v>
                </c:pt>
                <c:pt idx="41">
                  <c:v>1.6400000000000008</c:v>
                </c:pt>
                <c:pt idx="42">
                  <c:v>1.6800000000000008</c:v>
                </c:pt>
                <c:pt idx="43">
                  <c:v>1.7200000000000009</c:v>
                </c:pt>
                <c:pt idx="44">
                  <c:v>1.7600000000000009</c:v>
                </c:pt>
                <c:pt idx="45">
                  <c:v>1.8000000000000009</c:v>
                </c:pt>
                <c:pt idx="46">
                  <c:v>1.840000000000001</c:v>
                </c:pt>
                <c:pt idx="47">
                  <c:v>1.880000000000001</c:v>
                </c:pt>
                <c:pt idx="48">
                  <c:v>1.920000000000001</c:v>
                </c:pt>
                <c:pt idx="49">
                  <c:v>1.9600000000000011</c:v>
                </c:pt>
                <c:pt idx="50">
                  <c:v>2.0000000000000009</c:v>
                </c:pt>
                <c:pt idx="51">
                  <c:v>2.0400000000000009</c:v>
                </c:pt>
                <c:pt idx="52">
                  <c:v>2.080000000000001</c:v>
                </c:pt>
                <c:pt idx="53">
                  <c:v>2.120000000000001</c:v>
                </c:pt>
                <c:pt idx="54">
                  <c:v>2.160000000000001</c:v>
                </c:pt>
                <c:pt idx="55">
                  <c:v>2.2000000000000011</c:v>
                </c:pt>
                <c:pt idx="56">
                  <c:v>2.2400000000000011</c:v>
                </c:pt>
                <c:pt idx="57">
                  <c:v>2.2800000000000011</c:v>
                </c:pt>
                <c:pt idx="58">
                  <c:v>2.3200000000000012</c:v>
                </c:pt>
                <c:pt idx="59">
                  <c:v>2.3600000000000012</c:v>
                </c:pt>
                <c:pt idx="60">
                  <c:v>2.4000000000000012</c:v>
                </c:pt>
                <c:pt idx="61">
                  <c:v>2.4400000000000013</c:v>
                </c:pt>
                <c:pt idx="62">
                  <c:v>2.4800000000000013</c:v>
                </c:pt>
                <c:pt idx="63">
                  <c:v>2.5200000000000014</c:v>
                </c:pt>
                <c:pt idx="64">
                  <c:v>2.5600000000000014</c:v>
                </c:pt>
                <c:pt idx="65">
                  <c:v>2.6000000000000014</c:v>
                </c:pt>
                <c:pt idx="66">
                  <c:v>2.6400000000000015</c:v>
                </c:pt>
                <c:pt idx="67">
                  <c:v>2.6800000000000015</c:v>
                </c:pt>
                <c:pt idx="68">
                  <c:v>2.7200000000000015</c:v>
                </c:pt>
                <c:pt idx="69">
                  <c:v>2.7600000000000016</c:v>
                </c:pt>
                <c:pt idx="70">
                  <c:v>2.8000000000000016</c:v>
                </c:pt>
                <c:pt idx="71">
                  <c:v>2.8400000000000016</c:v>
                </c:pt>
                <c:pt idx="72">
                  <c:v>2.8800000000000017</c:v>
                </c:pt>
                <c:pt idx="73">
                  <c:v>2.9200000000000017</c:v>
                </c:pt>
                <c:pt idx="74">
                  <c:v>2.9600000000000017</c:v>
                </c:pt>
                <c:pt idx="75">
                  <c:v>3.0000000000000018</c:v>
                </c:pt>
                <c:pt idx="76">
                  <c:v>3.0400000000000018</c:v>
                </c:pt>
                <c:pt idx="77">
                  <c:v>3.0800000000000018</c:v>
                </c:pt>
                <c:pt idx="78">
                  <c:v>3.1200000000000019</c:v>
                </c:pt>
                <c:pt idx="79">
                  <c:v>3.1600000000000019</c:v>
                </c:pt>
                <c:pt idx="80">
                  <c:v>3.200000000000002</c:v>
                </c:pt>
                <c:pt idx="81">
                  <c:v>3.240000000000002</c:v>
                </c:pt>
                <c:pt idx="82">
                  <c:v>3.280000000000002</c:v>
                </c:pt>
                <c:pt idx="83">
                  <c:v>3.3200000000000021</c:v>
                </c:pt>
                <c:pt idx="84">
                  <c:v>3.3600000000000021</c:v>
                </c:pt>
                <c:pt idx="85">
                  <c:v>3.4000000000000021</c:v>
                </c:pt>
                <c:pt idx="86">
                  <c:v>3.4400000000000022</c:v>
                </c:pt>
                <c:pt idx="87">
                  <c:v>3.4800000000000022</c:v>
                </c:pt>
                <c:pt idx="88">
                  <c:v>3.5200000000000022</c:v>
                </c:pt>
                <c:pt idx="89">
                  <c:v>3.5600000000000023</c:v>
                </c:pt>
                <c:pt idx="90">
                  <c:v>3.6000000000000023</c:v>
                </c:pt>
                <c:pt idx="91">
                  <c:v>3.6400000000000023</c:v>
                </c:pt>
                <c:pt idx="92">
                  <c:v>3.6800000000000024</c:v>
                </c:pt>
                <c:pt idx="93">
                  <c:v>3.7200000000000024</c:v>
                </c:pt>
                <c:pt idx="94">
                  <c:v>3.7600000000000025</c:v>
                </c:pt>
                <c:pt idx="95">
                  <c:v>3.8000000000000025</c:v>
                </c:pt>
                <c:pt idx="96">
                  <c:v>3.8400000000000025</c:v>
                </c:pt>
                <c:pt idx="97">
                  <c:v>3.8800000000000026</c:v>
                </c:pt>
                <c:pt idx="98">
                  <c:v>3.9200000000000026</c:v>
                </c:pt>
                <c:pt idx="99">
                  <c:v>3.9600000000000026</c:v>
                </c:pt>
                <c:pt idx="100">
                  <c:v>4.0000000000000027</c:v>
                </c:pt>
                <c:pt idx="101">
                  <c:v>4.0400000000000027</c:v>
                </c:pt>
                <c:pt idx="102">
                  <c:v>4.0800000000000027</c:v>
                </c:pt>
                <c:pt idx="103">
                  <c:v>4.1200000000000028</c:v>
                </c:pt>
                <c:pt idx="104">
                  <c:v>4.1600000000000028</c:v>
                </c:pt>
                <c:pt idx="105">
                  <c:v>4.2000000000000028</c:v>
                </c:pt>
                <c:pt idx="106">
                  <c:v>4.2400000000000029</c:v>
                </c:pt>
                <c:pt idx="107">
                  <c:v>4.2800000000000029</c:v>
                </c:pt>
                <c:pt idx="108">
                  <c:v>4.3200000000000029</c:v>
                </c:pt>
                <c:pt idx="109">
                  <c:v>4.360000000000003</c:v>
                </c:pt>
                <c:pt idx="110">
                  <c:v>4.400000000000003</c:v>
                </c:pt>
                <c:pt idx="111">
                  <c:v>4.4400000000000031</c:v>
                </c:pt>
                <c:pt idx="112">
                  <c:v>4.4800000000000031</c:v>
                </c:pt>
                <c:pt idx="113">
                  <c:v>4.5200000000000031</c:v>
                </c:pt>
                <c:pt idx="114">
                  <c:v>4.5600000000000032</c:v>
                </c:pt>
                <c:pt idx="115">
                  <c:v>4.6000000000000032</c:v>
                </c:pt>
                <c:pt idx="116">
                  <c:v>4.6400000000000032</c:v>
                </c:pt>
                <c:pt idx="117">
                  <c:v>4.6800000000000033</c:v>
                </c:pt>
                <c:pt idx="118">
                  <c:v>4.7200000000000033</c:v>
                </c:pt>
                <c:pt idx="119">
                  <c:v>4.7600000000000033</c:v>
                </c:pt>
                <c:pt idx="120">
                  <c:v>4.8000000000000034</c:v>
                </c:pt>
                <c:pt idx="121">
                  <c:v>4.8400000000000034</c:v>
                </c:pt>
                <c:pt idx="122">
                  <c:v>4.8800000000000034</c:v>
                </c:pt>
                <c:pt idx="123">
                  <c:v>4.9200000000000035</c:v>
                </c:pt>
                <c:pt idx="124">
                  <c:v>4.9600000000000035</c:v>
                </c:pt>
                <c:pt idx="125">
                  <c:v>5</c:v>
                </c:pt>
              </c:numCache>
            </c:numRef>
          </c:xVal>
          <c:yVal>
            <c:numRef>
              <c:f>Sheet1!$F$5:$F$130</c:f>
              <c:numCache>
                <c:formatCode>0.00</c:formatCode>
                <c:ptCount val="126"/>
                <c:pt idx="0">
                  <c:v>-98.894331072918703</c:v>
                </c:pt>
                <c:pt idx="1">
                  <c:v>-103.01550130721093</c:v>
                </c:pt>
                <c:pt idx="2">
                  <c:v>-107.3182098934371</c:v>
                </c:pt>
                <c:pt idx="3">
                  <c:v>-111.73966301412563</c:v>
                </c:pt>
                <c:pt idx="4">
                  <c:v>-116.22440920952072</c:v>
                </c:pt>
                <c:pt idx="5">
                  <c:v>-120.72459494070087</c:v>
                </c:pt>
                <c:pt idx="6">
                  <c:v>-125.20066768564591</c:v>
                </c:pt>
                <c:pt idx="7">
                  <c:v>-129.62225122784326</c:v>
                </c:pt>
                <c:pt idx="8">
                  <c:v>-133.96867153370391</c:v>
                </c:pt>
                <c:pt idx="9">
                  <c:v>-138.22851062287432</c:v>
                </c:pt>
                <c:pt idx="10">
                  <c:v>-142.39784540757918</c:v>
                </c:pt>
                <c:pt idx="11">
                  <c:v>-146.47722714959647</c:v>
                </c:pt>
                <c:pt idx="12">
                  <c:v>-150.46810335008013</c:v>
                </c:pt>
                <c:pt idx="13">
                  <c:v>-154.36920899008754</c:v>
                </c:pt>
                <c:pt idx="14">
                  <c:v>-158.17364790936972</c:v>
                </c:pt>
                <c:pt idx="15">
                  <c:v>-161.86674645039869</c:v>
                </c:pt>
                <c:pt idx="16">
                  <c:v>-165.42462113764827</c:v>
                </c:pt>
                <c:pt idx="17">
                  <c:v>-168.81324971373905</c:v>
                </c:pt>
                <c:pt idx="18">
                  <c:v>-171.98776093896024</c:v>
                </c:pt>
                <c:pt idx="19">
                  <c:v>-174.89183778864205</c:v>
                </c:pt>
                <c:pt idx="20">
                  <c:v>-177.45704372185233</c:v>
                </c:pt>
                <c:pt idx="21">
                  <c:v>-179.60209891373134</c:v>
                </c:pt>
                <c:pt idx="22">
                  <c:v>-181.23218662514475</c:v>
                </c:pt>
                <c:pt idx="23">
                  <c:v>-182.2385626410726</c:v>
                </c:pt>
                <c:pt idx="24">
                  <c:v>-182.49900175711974</c:v>
                </c:pt>
                <c:pt idx="25">
                  <c:v>-181.87996992861181</c:v>
                </c:pt>
                <c:pt idx="26">
                  <c:v>-180.24174804006196</c:v>
                </c:pt>
                <c:pt idx="27">
                  <c:v>-177.4476827840727</c:v>
                </c:pt>
                <c:pt idx="28">
                  <c:v>-173.37763885475835</c:v>
                </c:pt>
                <c:pt idx="29">
                  <c:v>-167.9440540257778</c:v>
                </c:pt>
                <c:pt idx="30">
                  <c:v>-161.11731337591326</c:v>
                </c:pt>
                <c:pt idx="31">
                  <c:v>-153.03582249771617</c:v>
                </c:pt>
                <c:pt idx="32">
                  <c:v>-144.43171766570828</c:v>
                </c:pt>
                <c:pt idx="33">
                  <c:v>-136.8185710865971</c:v>
                </c:pt>
                <c:pt idx="34">
                  <c:v>-130.22120457380461</c:v>
                </c:pt>
                <c:pt idx="35">
                  <c:v>-122.9695817963116</c:v>
                </c:pt>
                <c:pt idx="36">
                  <c:v>-114.80661761755559</c:v>
                </c:pt>
                <c:pt idx="37">
                  <c:v>-106.58458413116831</c:v>
                </c:pt>
                <c:pt idx="38">
                  <c:v>-99.132940003828764</c:v>
                </c:pt>
                <c:pt idx="39">
                  <c:v>-92.942335620912928</c:v>
                </c:pt>
                <c:pt idx="40">
                  <c:v>-88.204959158159426</c:v>
                </c:pt>
                <c:pt idx="41">
                  <c:v>-84.921047423852372</c:v>
                </c:pt>
                <c:pt idx="42">
                  <c:v>-82.988347909425826</c:v>
                </c:pt>
                <c:pt idx="43">
                  <c:v>-82.260538277490056</c:v>
                </c:pt>
                <c:pt idx="44">
                  <c:v>-82.580229609871779</c:v>
                </c:pt>
                <c:pt idx="45">
                  <c:v>-83.795396096309119</c:v>
                </c:pt>
                <c:pt idx="46">
                  <c:v>-85.766271282059733</c:v>
                </c:pt>
                <c:pt idx="47">
                  <c:v>-88.36728217760718</c:v>
                </c:pt>
                <c:pt idx="48">
                  <c:v>-91.486657902536038</c:v>
                </c:pt>
                <c:pt idx="49">
                  <c:v>-95.02511683358604</c:v>
                </c:pt>
                <c:pt idx="50">
                  <c:v>-98.894331072917439</c:v>
                </c:pt>
                <c:pt idx="51">
                  <c:v>-103.0155013072108</c:v>
                </c:pt>
                <c:pt idx="52">
                  <c:v>-107.31820989343694</c:v>
                </c:pt>
                <c:pt idx="53">
                  <c:v>-111.73966301412533</c:v>
                </c:pt>
                <c:pt idx="54">
                  <c:v>-116.2244092095204</c:v>
                </c:pt>
                <c:pt idx="55">
                  <c:v>-120.72459494070067</c:v>
                </c:pt>
                <c:pt idx="56">
                  <c:v>-125.2006676856457</c:v>
                </c:pt>
                <c:pt idx="57">
                  <c:v>-129.62225122784324</c:v>
                </c:pt>
                <c:pt idx="58">
                  <c:v>-133.96867153370374</c:v>
                </c:pt>
                <c:pt idx="59">
                  <c:v>-138.22851062287404</c:v>
                </c:pt>
                <c:pt idx="60">
                  <c:v>-142.39784540757907</c:v>
                </c:pt>
                <c:pt idx="61">
                  <c:v>-146.47722714959622</c:v>
                </c:pt>
                <c:pt idx="62">
                  <c:v>-150.4681033500801</c:v>
                </c:pt>
                <c:pt idx="63">
                  <c:v>-154.36920899008732</c:v>
                </c:pt>
                <c:pt idx="64">
                  <c:v>-158.17364790936961</c:v>
                </c:pt>
                <c:pt idx="65">
                  <c:v>-161.86674645039855</c:v>
                </c:pt>
                <c:pt idx="66">
                  <c:v>-165.42462113764816</c:v>
                </c:pt>
                <c:pt idx="67">
                  <c:v>-168.81324971373962</c:v>
                </c:pt>
                <c:pt idx="68">
                  <c:v>-171.98776093896007</c:v>
                </c:pt>
                <c:pt idx="69">
                  <c:v>-174.89183778864191</c:v>
                </c:pt>
                <c:pt idx="70">
                  <c:v>-177.45704372185224</c:v>
                </c:pt>
                <c:pt idx="71">
                  <c:v>-179.6020989137312</c:v>
                </c:pt>
                <c:pt idx="72">
                  <c:v>-181.23218662514466</c:v>
                </c:pt>
                <c:pt idx="73">
                  <c:v>-182.23856264107252</c:v>
                </c:pt>
                <c:pt idx="74">
                  <c:v>-182.49900175711036</c:v>
                </c:pt>
                <c:pt idx="75">
                  <c:v>-181.87996992861187</c:v>
                </c:pt>
                <c:pt idx="76">
                  <c:v>-180.24174804006199</c:v>
                </c:pt>
                <c:pt idx="77">
                  <c:v>-177.4476827840729</c:v>
                </c:pt>
                <c:pt idx="78">
                  <c:v>-173.37763885475854</c:v>
                </c:pt>
                <c:pt idx="79">
                  <c:v>-167.94405402577792</c:v>
                </c:pt>
                <c:pt idx="80">
                  <c:v>-161.11731337591345</c:v>
                </c:pt>
                <c:pt idx="81">
                  <c:v>-153.03582249771631</c:v>
                </c:pt>
                <c:pt idx="82">
                  <c:v>-144.43171766570839</c:v>
                </c:pt>
                <c:pt idx="83">
                  <c:v>-136.8185710865973</c:v>
                </c:pt>
                <c:pt idx="84">
                  <c:v>-130.22120457380493</c:v>
                </c:pt>
                <c:pt idx="85">
                  <c:v>-122.96958179631167</c:v>
                </c:pt>
                <c:pt idx="86">
                  <c:v>-114.80661761755574</c:v>
                </c:pt>
                <c:pt idx="87">
                  <c:v>-106.58458413116837</c:v>
                </c:pt>
                <c:pt idx="88">
                  <c:v>-99.132940003828907</c:v>
                </c:pt>
                <c:pt idx="89">
                  <c:v>-92.942335620912971</c:v>
                </c:pt>
                <c:pt idx="90">
                  <c:v>-88.204959158159369</c:v>
                </c:pt>
                <c:pt idx="91">
                  <c:v>-84.921047423852372</c:v>
                </c:pt>
                <c:pt idx="92">
                  <c:v>-82.988347909425798</c:v>
                </c:pt>
                <c:pt idx="93">
                  <c:v>-82.2605382774898</c:v>
                </c:pt>
                <c:pt idx="94">
                  <c:v>-82.580229609871779</c:v>
                </c:pt>
                <c:pt idx="95">
                  <c:v>-83.795396096309531</c:v>
                </c:pt>
                <c:pt idx="96">
                  <c:v>-85.766271282059733</c:v>
                </c:pt>
                <c:pt idx="97">
                  <c:v>-88.36728217760718</c:v>
                </c:pt>
                <c:pt idx="98">
                  <c:v>-91.486657902531803</c:v>
                </c:pt>
                <c:pt idx="99">
                  <c:v>-95.025116833586068</c:v>
                </c:pt>
                <c:pt idx="100">
                  <c:v>-98.894331072917353</c:v>
                </c:pt>
                <c:pt idx="101">
                  <c:v>-103.01550130721074</c:v>
                </c:pt>
                <c:pt idx="102">
                  <c:v>-107.3182098934369</c:v>
                </c:pt>
                <c:pt idx="103">
                  <c:v>-111.73966301412544</c:v>
                </c:pt>
                <c:pt idx="104">
                  <c:v>-116.22440920952049</c:v>
                </c:pt>
                <c:pt idx="105">
                  <c:v>-120.7245949407007</c:v>
                </c:pt>
                <c:pt idx="106">
                  <c:v>-125.20066768564585</c:v>
                </c:pt>
                <c:pt idx="107">
                  <c:v>-129.62225122784321</c:v>
                </c:pt>
                <c:pt idx="108">
                  <c:v>-133.9686715337038</c:v>
                </c:pt>
                <c:pt idx="109">
                  <c:v>-138.22851062287438</c:v>
                </c:pt>
                <c:pt idx="110">
                  <c:v>-142.39784540757915</c:v>
                </c:pt>
                <c:pt idx="111">
                  <c:v>-146.47722714959644</c:v>
                </c:pt>
                <c:pt idx="112">
                  <c:v>-150.46810335008027</c:v>
                </c:pt>
                <c:pt idx="113">
                  <c:v>-154.36920899008749</c:v>
                </c:pt>
                <c:pt idx="114">
                  <c:v>-158.17364790936972</c:v>
                </c:pt>
                <c:pt idx="115">
                  <c:v>-161.86674645039869</c:v>
                </c:pt>
                <c:pt idx="116">
                  <c:v>-165.4246211376485</c:v>
                </c:pt>
                <c:pt idx="117">
                  <c:v>-168.81324971373922</c:v>
                </c:pt>
                <c:pt idx="118">
                  <c:v>-171.98776093896024</c:v>
                </c:pt>
                <c:pt idx="119">
                  <c:v>-174.89183778864214</c:v>
                </c:pt>
                <c:pt idx="120">
                  <c:v>-177.45704372185256</c:v>
                </c:pt>
                <c:pt idx="121">
                  <c:v>-179.60209891373134</c:v>
                </c:pt>
                <c:pt idx="122">
                  <c:v>-181.23218662514506</c:v>
                </c:pt>
                <c:pt idx="123">
                  <c:v>-182.23856264107573</c:v>
                </c:pt>
                <c:pt idx="124">
                  <c:v>-182.4990017571196</c:v>
                </c:pt>
                <c:pt idx="125">
                  <c:v>-181.87996992861176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8F-47E3-874C-D995AB0EC6F2}"/>
            </c:ext>
          </c:extLst>
        </c:ser>
        <c:ser>
          <c:idx val="3"/>
          <c:order val="3"/>
          <c:tx>
            <c:strRef>
              <c:f>Sheet1!$C$2:$C$3</c:f>
              <c:strCache>
                <c:ptCount val="2"/>
                <c:pt idx="0">
                  <c:v>Leg 1_X</c:v>
                </c:pt>
                <c:pt idx="1">
                  <c:v>Linear Displacement5 (mm)</c:v>
                </c:pt>
              </c:strCache>
            </c:strRef>
          </c:tx>
          <c:marker>
            <c:symbol val="none"/>
          </c:marker>
          <c:xVal>
            <c:numRef>
              <c:f>Sheet1!$B$5:$B$130</c:f>
              <c:numCache>
                <c:formatCode>0.00</c:formatCode>
                <c:ptCount val="126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0.24000000000000002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0.39999999999999997</c:v>
                </c:pt>
                <c:pt idx="11">
                  <c:v>0.43999999999999995</c:v>
                </c:pt>
                <c:pt idx="12">
                  <c:v>0.47999999999999993</c:v>
                </c:pt>
                <c:pt idx="13">
                  <c:v>0.51999999999999991</c:v>
                </c:pt>
                <c:pt idx="14">
                  <c:v>0.55999999999999994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0.72000000000000008</c:v>
                </c:pt>
                <c:pt idx="19">
                  <c:v>0.76000000000000012</c:v>
                </c:pt>
                <c:pt idx="20">
                  <c:v>0.80000000000000016</c:v>
                </c:pt>
                <c:pt idx="21">
                  <c:v>0.84000000000000019</c:v>
                </c:pt>
                <c:pt idx="22">
                  <c:v>0.88000000000000023</c:v>
                </c:pt>
                <c:pt idx="23">
                  <c:v>0.92000000000000026</c:v>
                </c:pt>
                <c:pt idx="24">
                  <c:v>0.9600000000000003</c:v>
                </c:pt>
                <c:pt idx="25">
                  <c:v>1.0000000000000002</c:v>
                </c:pt>
                <c:pt idx="26">
                  <c:v>1.0400000000000003</c:v>
                </c:pt>
                <c:pt idx="27">
                  <c:v>1.0800000000000003</c:v>
                </c:pt>
                <c:pt idx="28">
                  <c:v>1.1200000000000003</c:v>
                </c:pt>
                <c:pt idx="29">
                  <c:v>1.1600000000000004</c:v>
                </c:pt>
                <c:pt idx="30">
                  <c:v>1.2000000000000004</c:v>
                </c:pt>
                <c:pt idx="31">
                  <c:v>1.2400000000000004</c:v>
                </c:pt>
                <c:pt idx="32">
                  <c:v>1.2800000000000005</c:v>
                </c:pt>
                <c:pt idx="33">
                  <c:v>1.3200000000000005</c:v>
                </c:pt>
                <c:pt idx="34">
                  <c:v>1.3600000000000005</c:v>
                </c:pt>
                <c:pt idx="35">
                  <c:v>1.4000000000000006</c:v>
                </c:pt>
                <c:pt idx="36">
                  <c:v>1.4400000000000006</c:v>
                </c:pt>
                <c:pt idx="37">
                  <c:v>1.4800000000000006</c:v>
                </c:pt>
                <c:pt idx="38">
                  <c:v>1.5200000000000007</c:v>
                </c:pt>
                <c:pt idx="39">
                  <c:v>1.5600000000000007</c:v>
                </c:pt>
                <c:pt idx="40">
                  <c:v>1.6000000000000008</c:v>
                </c:pt>
                <c:pt idx="41">
                  <c:v>1.6400000000000008</c:v>
                </c:pt>
                <c:pt idx="42">
                  <c:v>1.6800000000000008</c:v>
                </c:pt>
                <c:pt idx="43">
                  <c:v>1.7200000000000009</c:v>
                </c:pt>
                <c:pt idx="44">
                  <c:v>1.7600000000000009</c:v>
                </c:pt>
                <c:pt idx="45">
                  <c:v>1.8000000000000009</c:v>
                </c:pt>
                <c:pt idx="46">
                  <c:v>1.840000000000001</c:v>
                </c:pt>
                <c:pt idx="47">
                  <c:v>1.880000000000001</c:v>
                </c:pt>
                <c:pt idx="48">
                  <c:v>1.920000000000001</c:v>
                </c:pt>
                <c:pt idx="49">
                  <c:v>1.9600000000000011</c:v>
                </c:pt>
                <c:pt idx="50">
                  <c:v>2.0000000000000009</c:v>
                </c:pt>
                <c:pt idx="51">
                  <c:v>2.0400000000000009</c:v>
                </c:pt>
                <c:pt idx="52">
                  <c:v>2.080000000000001</c:v>
                </c:pt>
                <c:pt idx="53">
                  <c:v>2.120000000000001</c:v>
                </c:pt>
                <c:pt idx="54">
                  <c:v>2.160000000000001</c:v>
                </c:pt>
                <c:pt idx="55">
                  <c:v>2.2000000000000011</c:v>
                </c:pt>
                <c:pt idx="56">
                  <c:v>2.2400000000000011</c:v>
                </c:pt>
                <c:pt idx="57">
                  <c:v>2.2800000000000011</c:v>
                </c:pt>
                <c:pt idx="58">
                  <c:v>2.3200000000000012</c:v>
                </c:pt>
                <c:pt idx="59">
                  <c:v>2.3600000000000012</c:v>
                </c:pt>
                <c:pt idx="60">
                  <c:v>2.4000000000000012</c:v>
                </c:pt>
                <c:pt idx="61">
                  <c:v>2.4400000000000013</c:v>
                </c:pt>
                <c:pt idx="62">
                  <c:v>2.4800000000000013</c:v>
                </c:pt>
                <c:pt idx="63">
                  <c:v>2.5200000000000014</c:v>
                </c:pt>
                <c:pt idx="64">
                  <c:v>2.5600000000000014</c:v>
                </c:pt>
                <c:pt idx="65">
                  <c:v>2.6000000000000014</c:v>
                </c:pt>
                <c:pt idx="66">
                  <c:v>2.6400000000000015</c:v>
                </c:pt>
                <c:pt idx="67">
                  <c:v>2.6800000000000015</c:v>
                </c:pt>
                <c:pt idx="68">
                  <c:v>2.7200000000000015</c:v>
                </c:pt>
                <c:pt idx="69">
                  <c:v>2.7600000000000016</c:v>
                </c:pt>
                <c:pt idx="70">
                  <c:v>2.8000000000000016</c:v>
                </c:pt>
                <c:pt idx="71">
                  <c:v>2.8400000000000016</c:v>
                </c:pt>
                <c:pt idx="72">
                  <c:v>2.8800000000000017</c:v>
                </c:pt>
                <c:pt idx="73">
                  <c:v>2.9200000000000017</c:v>
                </c:pt>
                <c:pt idx="74">
                  <c:v>2.9600000000000017</c:v>
                </c:pt>
                <c:pt idx="75">
                  <c:v>3.0000000000000018</c:v>
                </c:pt>
                <c:pt idx="76">
                  <c:v>3.0400000000000018</c:v>
                </c:pt>
                <c:pt idx="77">
                  <c:v>3.0800000000000018</c:v>
                </c:pt>
                <c:pt idx="78">
                  <c:v>3.1200000000000019</c:v>
                </c:pt>
                <c:pt idx="79">
                  <c:v>3.1600000000000019</c:v>
                </c:pt>
                <c:pt idx="80">
                  <c:v>3.200000000000002</c:v>
                </c:pt>
                <c:pt idx="81">
                  <c:v>3.240000000000002</c:v>
                </c:pt>
                <c:pt idx="82">
                  <c:v>3.280000000000002</c:v>
                </c:pt>
                <c:pt idx="83">
                  <c:v>3.3200000000000021</c:v>
                </c:pt>
                <c:pt idx="84">
                  <c:v>3.3600000000000021</c:v>
                </c:pt>
                <c:pt idx="85">
                  <c:v>3.4000000000000021</c:v>
                </c:pt>
                <c:pt idx="86">
                  <c:v>3.4400000000000022</c:v>
                </c:pt>
                <c:pt idx="87">
                  <c:v>3.4800000000000022</c:v>
                </c:pt>
                <c:pt idx="88">
                  <c:v>3.5200000000000022</c:v>
                </c:pt>
                <c:pt idx="89">
                  <c:v>3.5600000000000023</c:v>
                </c:pt>
                <c:pt idx="90">
                  <c:v>3.6000000000000023</c:v>
                </c:pt>
                <c:pt idx="91">
                  <c:v>3.6400000000000023</c:v>
                </c:pt>
                <c:pt idx="92">
                  <c:v>3.6800000000000024</c:v>
                </c:pt>
                <c:pt idx="93">
                  <c:v>3.7200000000000024</c:v>
                </c:pt>
                <c:pt idx="94">
                  <c:v>3.7600000000000025</c:v>
                </c:pt>
                <c:pt idx="95">
                  <c:v>3.8000000000000025</c:v>
                </c:pt>
                <c:pt idx="96">
                  <c:v>3.8400000000000025</c:v>
                </c:pt>
                <c:pt idx="97">
                  <c:v>3.8800000000000026</c:v>
                </c:pt>
                <c:pt idx="98">
                  <c:v>3.9200000000000026</c:v>
                </c:pt>
                <c:pt idx="99">
                  <c:v>3.9600000000000026</c:v>
                </c:pt>
                <c:pt idx="100">
                  <c:v>4.0000000000000027</c:v>
                </c:pt>
                <c:pt idx="101">
                  <c:v>4.0400000000000027</c:v>
                </c:pt>
                <c:pt idx="102">
                  <c:v>4.0800000000000027</c:v>
                </c:pt>
                <c:pt idx="103">
                  <c:v>4.1200000000000028</c:v>
                </c:pt>
                <c:pt idx="104">
                  <c:v>4.1600000000000028</c:v>
                </c:pt>
                <c:pt idx="105">
                  <c:v>4.2000000000000028</c:v>
                </c:pt>
                <c:pt idx="106">
                  <c:v>4.2400000000000029</c:v>
                </c:pt>
                <c:pt idx="107">
                  <c:v>4.2800000000000029</c:v>
                </c:pt>
                <c:pt idx="108">
                  <c:v>4.3200000000000029</c:v>
                </c:pt>
                <c:pt idx="109">
                  <c:v>4.360000000000003</c:v>
                </c:pt>
                <c:pt idx="110">
                  <c:v>4.400000000000003</c:v>
                </c:pt>
                <c:pt idx="111">
                  <c:v>4.4400000000000031</c:v>
                </c:pt>
                <c:pt idx="112">
                  <c:v>4.4800000000000031</c:v>
                </c:pt>
                <c:pt idx="113">
                  <c:v>4.5200000000000031</c:v>
                </c:pt>
                <c:pt idx="114">
                  <c:v>4.5600000000000032</c:v>
                </c:pt>
                <c:pt idx="115">
                  <c:v>4.6000000000000032</c:v>
                </c:pt>
                <c:pt idx="116">
                  <c:v>4.6400000000000032</c:v>
                </c:pt>
                <c:pt idx="117">
                  <c:v>4.6800000000000033</c:v>
                </c:pt>
                <c:pt idx="118">
                  <c:v>4.7200000000000033</c:v>
                </c:pt>
                <c:pt idx="119">
                  <c:v>4.7600000000000033</c:v>
                </c:pt>
                <c:pt idx="120">
                  <c:v>4.8000000000000034</c:v>
                </c:pt>
                <c:pt idx="121">
                  <c:v>4.8400000000000034</c:v>
                </c:pt>
                <c:pt idx="122">
                  <c:v>4.8800000000000034</c:v>
                </c:pt>
                <c:pt idx="123">
                  <c:v>4.9200000000000035</c:v>
                </c:pt>
                <c:pt idx="124">
                  <c:v>4.9600000000000035</c:v>
                </c:pt>
                <c:pt idx="125">
                  <c:v>5</c:v>
                </c:pt>
              </c:numCache>
            </c:numRef>
          </c:xVal>
          <c:yVal>
            <c:numRef>
              <c:f>Sheet1!$C$5:$C$130</c:f>
              <c:numCache>
                <c:formatCode>0.00</c:formatCode>
                <c:ptCount val="126"/>
                <c:pt idx="0">
                  <c:v>24.105786909501617</c:v>
                </c:pt>
                <c:pt idx="1">
                  <c:v>21.119234924236338</c:v>
                </c:pt>
                <c:pt idx="2">
                  <c:v>17.879290275892004</c:v>
                </c:pt>
                <c:pt idx="3">
                  <c:v>14.438985602750989</c:v>
                </c:pt>
                <c:pt idx="4">
                  <c:v>10.84007302802722</c:v>
                </c:pt>
                <c:pt idx="5">
                  <c:v>7.1136503858635507</c:v>
                </c:pt>
                <c:pt idx="6">
                  <c:v>3.280896709508454</c:v>
                </c:pt>
                <c:pt idx="7">
                  <c:v>-0.6458736045362059</c:v>
                </c:pt>
                <c:pt idx="8">
                  <c:v>-4.6616064501871506</c:v>
                </c:pt>
                <c:pt idx="9">
                  <c:v>-8.7661241605314757</c:v>
                </c:pt>
                <c:pt idx="10">
                  <c:v>-12.960987111957671</c:v>
                </c:pt>
                <c:pt idx="11">
                  <c:v>-17.245867691050705</c:v>
                </c:pt>
                <c:pt idx="12">
                  <c:v>-21.614969127086617</c:v>
                </c:pt>
                <c:pt idx="13">
                  <c:v>-26.054396075896619</c:v>
                </c:pt>
                <c:pt idx="14">
                  <c:v>-30.540735367116156</c:v>
                </c:pt>
                <c:pt idx="15">
                  <c:v>-35.040950608990038</c:v>
                </c:pt>
                <c:pt idx="16">
                  <c:v>-39.513063495947023</c:v>
                </c:pt>
                <c:pt idx="17">
                  <c:v>-43.907028697585723</c:v>
                </c:pt>
                <c:pt idx="18">
                  <c:v>-48.165325821848043</c:v>
                </c:pt>
                <c:pt idx="19">
                  <c:v>-52.223066359301832</c:v>
                </c:pt>
                <c:pt idx="20">
                  <c:v>-56.007569596897312</c:v>
                </c:pt>
                <c:pt idx="21">
                  <c:v>-59.437485390037523</c:v>
                </c:pt>
                <c:pt idx="22">
                  <c:v>-62.421556589649271</c:v>
                </c:pt>
                <c:pt idx="23">
                  <c:v>-64.857141385267624</c:v>
                </c:pt>
                <c:pt idx="24">
                  <c:v>-66.628695646763575</c:v>
                </c:pt>
                <c:pt idx="25">
                  <c:v>-67.606625987710032</c:v>
                </c:pt>
                <c:pt idx="26">
                  <c:v>-67.64736908211664</c:v>
                </c:pt>
                <c:pt idx="27">
                  <c:v>-66.596385968663014</c:v>
                </c:pt>
                <c:pt idx="28">
                  <c:v>-64.297177549663985</c:v>
                </c:pt>
                <c:pt idx="29">
                  <c:v>-60.611555606828155</c:v>
                </c:pt>
                <c:pt idx="30">
                  <c:v>-55.458890768912035</c:v>
                </c:pt>
                <c:pt idx="31">
                  <c:v>-48.883087614443156</c:v>
                </c:pt>
                <c:pt idx="32">
                  <c:v>-41.149867965509877</c:v>
                </c:pt>
                <c:pt idx="33">
                  <c:v>-32.848371159578036</c:v>
                </c:pt>
                <c:pt idx="34">
                  <c:v>-24.874843060534289</c:v>
                </c:pt>
                <c:pt idx="35">
                  <c:v>-17.918205973785604</c:v>
                </c:pt>
                <c:pt idx="36">
                  <c:v>-11.199887252368228</c:v>
                </c:pt>
                <c:pt idx="37">
                  <c:v>-3.1792131662687098</c:v>
                </c:pt>
                <c:pt idx="38">
                  <c:v>5.4123186771354028</c:v>
                </c:pt>
                <c:pt idx="39">
                  <c:v>13.176601834880216</c:v>
                </c:pt>
                <c:pt idx="40">
                  <c:v>19.61400516848758</c:v>
                </c:pt>
                <c:pt idx="41">
                  <c:v>24.657684013476683</c:v>
                </c:pt>
                <c:pt idx="42">
                  <c:v>28.358129320889788</c:v>
                </c:pt>
                <c:pt idx="43">
                  <c:v>30.813830931866178</c:v>
                </c:pt>
                <c:pt idx="44">
                  <c:v>32.151116156345807</c:v>
                </c:pt>
                <c:pt idx="45">
                  <c:v>32.508698287669404</c:v>
                </c:pt>
                <c:pt idx="46">
                  <c:v>32.025297028834615</c:v>
                </c:pt>
                <c:pt idx="47">
                  <c:v>30.831630071031128</c:v>
                </c:pt>
                <c:pt idx="48">
                  <c:v>29.046254130305854</c:v>
                </c:pt>
                <c:pt idx="49">
                  <c:v>26.773990415696829</c:v>
                </c:pt>
                <c:pt idx="50">
                  <c:v>24.10578690950183</c:v>
                </c:pt>
                <c:pt idx="51">
                  <c:v>21.119234924236522</c:v>
                </c:pt>
                <c:pt idx="52">
                  <c:v>17.87929027589216</c:v>
                </c:pt>
                <c:pt idx="53">
                  <c:v>14.438985602751075</c:v>
                </c:pt>
                <c:pt idx="54">
                  <c:v>10.840073028027192</c:v>
                </c:pt>
                <c:pt idx="55">
                  <c:v>7.1136503858636075</c:v>
                </c:pt>
                <c:pt idx="56">
                  <c:v>3.2808967095084967</c:v>
                </c:pt>
                <c:pt idx="57">
                  <c:v>-0.64587360453597853</c:v>
                </c:pt>
                <c:pt idx="58">
                  <c:v>-4.6616064501870511</c:v>
                </c:pt>
                <c:pt idx="59">
                  <c:v>-8.7661241605315894</c:v>
                </c:pt>
                <c:pt idx="60">
                  <c:v>-12.960987111958431</c:v>
                </c:pt>
                <c:pt idx="61">
                  <c:v>-17.245867691050364</c:v>
                </c:pt>
                <c:pt idx="62">
                  <c:v>-21.614969127086574</c:v>
                </c:pt>
                <c:pt idx="63">
                  <c:v>-26.054396075896449</c:v>
                </c:pt>
                <c:pt idx="64">
                  <c:v>-30.540735367116042</c:v>
                </c:pt>
                <c:pt idx="65">
                  <c:v>-35.040950608989903</c:v>
                </c:pt>
                <c:pt idx="66">
                  <c:v>-39.513063495946888</c:v>
                </c:pt>
                <c:pt idx="67">
                  <c:v>-43.907028697585687</c:v>
                </c:pt>
                <c:pt idx="68">
                  <c:v>-48.165325821847908</c:v>
                </c:pt>
                <c:pt idx="69">
                  <c:v>-52.22306635930159</c:v>
                </c:pt>
                <c:pt idx="70">
                  <c:v>-56.007569596897092</c:v>
                </c:pt>
                <c:pt idx="71">
                  <c:v>-59.437485390037516</c:v>
                </c:pt>
                <c:pt idx="72">
                  <c:v>-62.421556589649214</c:v>
                </c:pt>
                <c:pt idx="73">
                  <c:v>-64.857141385267624</c:v>
                </c:pt>
                <c:pt idx="74">
                  <c:v>-66.628695646768833</c:v>
                </c:pt>
                <c:pt idx="75">
                  <c:v>-67.606625987709947</c:v>
                </c:pt>
                <c:pt idx="76">
                  <c:v>-67.647369082116654</c:v>
                </c:pt>
                <c:pt idx="77">
                  <c:v>-66.596385968662872</c:v>
                </c:pt>
                <c:pt idx="78">
                  <c:v>-64.2971775496638</c:v>
                </c:pt>
                <c:pt idx="79">
                  <c:v>-60.611555606828531</c:v>
                </c:pt>
                <c:pt idx="80">
                  <c:v>-55.458890768912227</c:v>
                </c:pt>
                <c:pt idx="81">
                  <c:v>-48.883087614443625</c:v>
                </c:pt>
                <c:pt idx="82">
                  <c:v>-41.14986796551046</c:v>
                </c:pt>
                <c:pt idx="83">
                  <c:v>-32.848371159577489</c:v>
                </c:pt>
                <c:pt idx="84">
                  <c:v>-24.874843060520718</c:v>
                </c:pt>
                <c:pt idx="85">
                  <c:v>-17.91820597378441</c:v>
                </c:pt>
                <c:pt idx="86">
                  <c:v>-11.199887252368605</c:v>
                </c:pt>
                <c:pt idx="87">
                  <c:v>-3.1792131662688234</c:v>
                </c:pt>
                <c:pt idx="88">
                  <c:v>5.4123186771353602</c:v>
                </c:pt>
                <c:pt idx="89">
                  <c:v>13.176601834880216</c:v>
                </c:pt>
                <c:pt idx="90">
                  <c:v>19.614005168487637</c:v>
                </c:pt>
                <c:pt idx="91">
                  <c:v>24.657684013476725</c:v>
                </c:pt>
                <c:pt idx="92">
                  <c:v>28.358129320889745</c:v>
                </c:pt>
                <c:pt idx="93">
                  <c:v>30.813830931866136</c:v>
                </c:pt>
                <c:pt idx="94">
                  <c:v>32.151116156345878</c:v>
                </c:pt>
                <c:pt idx="95">
                  <c:v>32.5086982876702</c:v>
                </c:pt>
                <c:pt idx="96">
                  <c:v>32.025297028834615</c:v>
                </c:pt>
                <c:pt idx="97">
                  <c:v>30.831630071031171</c:v>
                </c:pt>
                <c:pt idx="98">
                  <c:v>29.046254130302273</c:v>
                </c:pt>
                <c:pt idx="99">
                  <c:v>26.773990415696829</c:v>
                </c:pt>
                <c:pt idx="100">
                  <c:v>24.10578690950183</c:v>
                </c:pt>
                <c:pt idx="101">
                  <c:v>21.119234924236551</c:v>
                </c:pt>
                <c:pt idx="102">
                  <c:v>17.879290275892203</c:v>
                </c:pt>
                <c:pt idx="103">
                  <c:v>14.438985602751103</c:v>
                </c:pt>
                <c:pt idx="104">
                  <c:v>10.840073028027149</c:v>
                </c:pt>
                <c:pt idx="105">
                  <c:v>7.113650385863707</c:v>
                </c:pt>
                <c:pt idx="106">
                  <c:v>3.2808967095085109</c:v>
                </c:pt>
                <c:pt idx="107">
                  <c:v>-0.64587360453614906</c:v>
                </c:pt>
                <c:pt idx="108">
                  <c:v>-4.6616064501871932</c:v>
                </c:pt>
                <c:pt idx="109">
                  <c:v>-8.7661241605315041</c:v>
                </c:pt>
                <c:pt idx="110">
                  <c:v>-12.960987111958339</c:v>
                </c:pt>
                <c:pt idx="111">
                  <c:v>-17.245867691050464</c:v>
                </c:pt>
                <c:pt idx="112">
                  <c:v>-21.614969127086695</c:v>
                </c:pt>
                <c:pt idx="113">
                  <c:v>-26.054396075896605</c:v>
                </c:pt>
                <c:pt idx="114">
                  <c:v>-30.540735367116213</c:v>
                </c:pt>
                <c:pt idx="115">
                  <c:v>-35.040950608990137</c:v>
                </c:pt>
                <c:pt idx="116">
                  <c:v>-39.513063495947307</c:v>
                </c:pt>
                <c:pt idx="117">
                  <c:v>-43.907028697585844</c:v>
                </c:pt>
                <c:pt idx="118">
                  <c:v>-48.165325821848235</c:v>
                </c:pt>
                <c:pt idx="119">
                  <c:v>-52.223066359301896</c:v>
                </c:pt>
                <c:pt idx="120">
                  <c:v>-56.007569596897341</c:v>
                </c:pt>
                <c:pt idx="121">
                  <c:v>-59.437485390037843</c:v>
                </c:pt>
                <c:pt idx="122">
                  <c:v>-62.421556589649427</c:v>
                </c:pt>
                <c:pt idx="123">
                  <c:v>-64.857141385272101</c:v>
                </c:pt>
                <c:pt idx="124">
                  <c:v>-66.628695646763845</c:v>
                </c:pt>
                <c:pt idx="125">
                  <c:v>-67.606625987710032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98F-47E3-874C-D995AB0EC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4348719"/>
        <c:axId val="1664358799"/>
      </c:scatterChart>
      <c:valAx>
        <c:axId val="1664348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sec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664358799"/>
        <c:crosses val="autoZero"/>
        <c:crossBetween val="midCat"/>
      </c:valAx>
      <c:valAx>
        <c:axId val="16643587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endParaRPr lang="en-GB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6643487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Height vs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Sheet1!$B$5:$B$130</c:f>
              <c:numCache>
                <c:formatCode>0.00</c:formatCode>
                <c:ptCount val="126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0.24000000000000002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0.39999999999999997</c:v>
                </c:pt>
                <c:pt idx="11">
                  <c:v>0.43999999999999995</c:v>
                </c:pt>
                <c:pt idx="12">
                  <c:v>0.47999999999999993</c:v>
                </c:pt>
                <c:pt idx="13">
                  <c:v>0.51999999999999991</c:v>
                </c:pt>
                <c:pt idx="14">
                  <c:v>0.55999999999999994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0.72000000000000008</c:v>
                </c:pt>
                <c:pt idx="19">
                  <c:v>0.76000000000000012</c:v>
                </c:pt>
                <c:pt idx="20">
                  <c:v>0.80000000000000016</c:v>
                </c:pt>
                <c:pt idx="21">
                  <c:v>0.84000000000000019</c:v>
                </c:pt>
                <c:pt idx="22">
                  <c:v>0.88000000000000023</c:v>
                </c:pt>
                <c:pt idx="23">
                  <c:v>0.92000000000000026</c:v>
                </c:pt>
                <c:pt idx="24">
                  <c:v>0.9600000000000003</c:v>
                </c:pt>
                <c:pt idx="25">
                  <c:v>1.0000000000000002</c:v>
                </c:pt>
                <c:pt idx="26">
                  <c:v>1.0400000000000003</c:v>
                </c:pt>
                <c:pt idx="27">
                  <c:v>1.0800000000000003</c:v>
                </c:pt>
                <c:pt idx="28">
                  <c:v>1.1200000000000003</c:v>
                </c:pt>
                <c:pt idx="29">
                  <c:v>1.1600000000000004</c:v>
                </c:pt>
                <c:pt idx="30">
                  <c:v>1.2000000000000004</c:v>
                </c:pt>
                <c:pt idx="31">
                  <c:v>1.2400000000000004</c:v>
                </c:pt>
                <c:pt idx="32">
                  <c:v>1.2800000000000005</c:v>
                </c:pt>
                <c:pt idx="33">
                  <c:v>1.3200000000000005</c:v>
                </c:pt>
                <c:pt idx="34">
                  <c:v>1.3600000000000005</c:v>
                </c:pt>
                <c:pt idx="35">
                  <c:v>1.4000000000000006</c:v>
                </c:pt>
                <c:pt idx="36">
                  <c:v>1.4400000000000006</c:v>
                </c:pt>
                <c:pt idx="37">
                  <c:v>1.4800000000000006</c:v>
                </c:pt>
                <c:pt idx="38">
                  <c:v>1.5200000000000007</c:v>
                </c:pt>
                <c:pt idx="39">
                  <c:v>1.5600000000000007</c:v>
                </c:pt>
                <c:pt idx="40">
                  <c:v>1.6000000000000008</c:v>
                </c:pt>
                <c:pt idx="41">
                  <c:v>1.6400000000000008</c:v>
                </c:pt>
                <c:pt idx="42">
                  <c:v>1.6800000000000008</c:v>
                </c:pt>
                <c:pt idx="43">
                  <c:v>1.7200000000000009</c:v>
                </c:pt>
                <c:pt idx="44">
                  <c:v>1.7600000000000009</c:v>
                </c:pt>
                <c:pt idx="45">
                  <c:v>1.8000000000000009</c:v>
                </c:pt>
                <c:pt idx="46">
                  <c:v>1.840000000000001</c:v>
                </c:pt>
                <c:pt idx="47">
                  <c:v>1.880000000000001</c:v>
                </c:pt>
                <c:pt idx="48">
                  <c:v>1.920000000000001</c:v>
                </c:pt>
                <c:pt idx="49">
                  <c:v>1.9600000000000011</c:v>
                </c:pt>
                <c:pt idx="50">
                  <c:v>2.0000000000000009</c:v>
                </c:pt>
                <c:pt idx="51">
                  <c:v>2.0400000000000009</c:v>
                </c:pt>
                <c:pt idx="52">
                  <c:v>2.080000000000001</c:v>
                </c:pt>
                <c:pt idx="53">
                  <c:v>2.120000000000001</c:v>
                </c:pt>
                <c:pt idx="54">
                  <c:v>2.160000000000001</c:v>
                </c:pt>
                <c:pt idx="55">
                  <c:v>2.2000000000000011</c:v>
                </c:pt>
                <c:pt idx="56">
                  <c:v>2.2400000000000011</c:v>
                </c:pt>
                <c:pt idx="57">
                  <c:v>2.2800000000000011</c:v>
                </c:pt>
                <c:pt idx="58">
                  <c:v>2.3200000000000012</c:v>
                </c:pt>
                <c:pt idx="59">
                  <c:v>2.3600000000000012</c:v>
                </c:pt>
                <c:pt idx="60">
                  <c:v>2.4000000000000012</c:v>
                </c:pt>
                <c:pt idx="61">
                  <c:v>2.4400000000000013</c:v>
                </c:pt>
                <c:pt idx="62">
                  <c:v>2.4800000000000013</c:v>
                </c:pt>
                <c:pt idx="63">
                  <c:v>2.5200000000000014</c:v>
                </c:pt>
                <c:pt idx="64">
                  <c:v>2.5600000000000014</c:v>
                </c:pt>
                <c:pt idx="65">
                  <c:v>2.6000000000000014</c:v>
                </c:pt>
                <c:pt idx="66">
                  <c:v>2.6400000000000015</c:v>
                </c:pt>
                <c:pt idx="67">
                  <c:v>2.6800000000000015</c:v>
                </c:pt>
                <c:pt idx="68">
                  <c:v>2.7200000000000015</c:v>
                </c:pt>
                <c:pt idx="69">
                  <c:v>2.7600000000000016</c:v>
                </c:pt>
                <c:pt idx="70">
                  <c:v>2.8000000000000016</c:v>
                </c:pt>
                <c:pt idx="71">
                  <c:v>2.8400000000000016</c:v>
                </c:pt>
                <c:pt idx="72">
                  <c:v>2.8800000000000017</c:v>
                </c:pt>
                <c:pt idx="73">
                  <c:v>2.9200000000000017</c:v>
                </c:pt>
                <c:pt idx="74">
                  <c:v>2.9600000000000017</c:v>
                </c:pt>
                <c:pt idx="75">
                  <c:v>3.0000000000000018</c:v>
                </c:pt>
                <c:pt idx="76">
                  <c:v>3.0400000000000018</c:v>
                </c:pt>
                <c:pt idx="77">
                  <c:v>3.0800000000000018</c:v>
                </c:pt>
                <c:pt idx="78">
                  <c:v>3.1200000000000019</c:v>
                </c:pt>
                <c:pt idx="79">
                  <c:v>3.1600000000000019</c:v>
                </c:pt>
                <c:pt idx="80">
                  <c:v>3.200000000000002</c:v>
                </c:pt>
                <c:pt idx="81">
                  <c:v>3.240000000000002</c:v>
                </c:pt>
                <c:pt idx="82">
                  <c:v>3.280000000000002</c:v>
                </c:pt>
                <c:pt idx="83">
                  <c:v>3.3200000000000021</c:v>
                </c:pt>
                <c:pt idx="84">
                  <c:v>3.3600000000000021</c:v>
                </c:pt>
                <c:pt idx="85">
                  <c:v>3.4000000000000021</c:v>
                </c:pt>
                <c:pt idx="86">
                  <c:v>3.4400000000000022</c:v>
                </c:pt>
                <c:pt idx="87">
                  <c:v>3.4800000000000022</c:v>
                </c:pt>
                <c:pt idx="88">
                  <c:v>3.5200000000000022</c:v>
                </c:pt>
                <c:pt idx="89">
                  <c:v>3.5600000000000023</c:v>
                </c:pt>
                <c:pt idx="90">
                  <c:v>3.6000000000000023</c:v>
                </c:pt>
                <c:pt idx="91">
                  <c:v>3.6400000000000023</c:v>
                </c:pt>
                <c:pt idx="92">
                  <c:v>3.6800000000000024</c:v>
                </c:pt>
                <c:pt idx="93">
                  <c:v>3.7200000000000024</c:v>
                </c:pt>
                <c:pt idx="94">
                  <c:v>3.7600000000000025</c:v>
                </c:pt>
                <c:pt idx="95">
                  <c:v>3.8000000000000025</c:v>
                </c:pt>
                <c:pt idx="96">
                  <c:v>3.8400000000000025</c:v>
                </c:pt>
                <c:pt idx="97">
                  <c:v>3.8800000000000026</c:v>
                </c:pt>
                <c:pt idx="98">
                  <c:v>3.9200000000000026</c:v>
                </c:pt>
                <c:pt idx="99">
                  <c:v>3.9600000000000026</c:v>
                </c:pt>
                <c:pt idx="100">
                  <c:v>4.0000000000000027</c:v>
                </c:pt>
                <c:pt idx="101">
                  <c:v>4.0400000000000027</c:v>
                </c:pt>
                <c:pt idx="102">
                  <c:v>4.0800000000000027</c:v>
                </c:pt>
                <c:pt idx="103">
                  <c:v>4.1200000000000028</c:v>
                </c:pt>
                <c:pt idx="104">
                  <c:v>4.1600000000000028</c:v>
                </c:pt>
                <c:pt idx="105">
                  <c:v>4.2000000000000028</c:v>
                </c:pt>
                <c:pt idx="106">
                  <c:v>4.2400000000000029</c:v>
                </c:pt>
                <c:pt idx="107">
                  <c:v>4.2800000000000029</c:v>
                </c:pt>
                <c:pt idx="108">
                  <c:v>4.3200000000000029</c:v>
                </c:pt>
                <c:pt idx="109">
                  <c:v>4.360000000000003</c:v>
                </c:pt>
                <c:pt idx="110">
                  <c:v>4.400000000000003</c:v>
                </c:pt>
                <c:pt idx="111">
                  <c:v>4.4400000000000031</c:v>
                </c:pt>
                <c:pt idx="112">
                  <c:v>4.4800000000000031</c:v>
                </c:pt>
                <c:pt idx="113">
                  <c:v>4.5200000000000031</c:v>
                </c:pt>
                <c:pt idx="114">
                  <c:v>4.5600000000000032</c:v>
                </c:pt>
                <c:pt idx="115">
                  <c:v>4.6000000000000032</c:v>
                </c:pt>
                <c:pt idx="116">
                  <c:v>4.6400000000000032</c:v>
                </c:pt>
                <c:pt idx="117">
                  <c:v>4.6800000000000033</c:v>
                </c:pt>
                <c:pt idx="118">
                  <c:v>4.7200000000000033</c:v>
                </c:pt>
                <c:pt idx="119">
                  <c:v>4.7600000000000033</c:v>
                </c:pt>
                <c:pt idx="120">
                  <c:v>4.8000000000000034</c:v>
                </c:pt>
                <c:pt idx="121">
                  <c:v>4.8400000000000034</c:v>
                </c:pt>
                <c:pt idx="122">
                  <c:v>4.8800000000000034</c:v>
                </c:pt>
                <c:pt idx="123">
                  <c:v>4.9200000000000035</c:v>
                </c:pt>
                <c:pt idx="124">
                  <c:v>4.9600000000000035</c:v>
                </c:pt>
                <c:pt idx="125">
                  <c:v>5</c:v>
                </c:pt>
              </c:numCache>
            </c:numRef>
          </c:cat>
          <c:val>
            <c:numRef>
              <c:f>Sheet1!$L$5:$L$130</c:f>
              <c:numCache>
                <c:formatCode>0.00</c:formatCode>
                <c:ptCount val="126"/>
                <c:pt idx="0">
                  <c:v>-98.082822230964169</c:v>
                </c:pt>
                <c:pt idx="1">
                  <c:v>-98.319476033689867</c:v>
                </c:pt>
                <c:pt idx="2">
                  <c:v>-98.476582342463757</c:v>
                </c:pt>
                <c:pt idx="3">
                  <c:v>-98.561611393642337</c:v>
                </c:pt>
                <c:pt idx="4">
                  <c:v>-98.587213954646757</c:v>
                </c:pt>
                <c:pt idx="5">
                  <c:v>-98.570071775434911</c:v>
                </c:pt>
                <c:pt idx="6">
                  <c:v>-98.543006890590206</c:v>
                </c:pt>
                <c:pt idx="7">
                  <c:v>-98.505811467690492</c:v>
                </c:pt>
                <c:pt idx="8">
                  <c:v>-98.4662779356009</c:v>
                </c:pt>
                <c:pt idx="9">
                  <c:v>-98.43974027024943</c:v>
                </c:pt>
                <c:pt idx="10">
                  <c:v>-98.445218599346319</c:v>
                </c:pt>
                <c:pt idx="11">
                  <c:v>-98.476654757644084</c:v>
                </c:pt>
                <c:pt idx="12">
                  <c:v>-98.517292073017103</c:v>
                </c:pt>
                <c:pt idx="13">
                  <c:v>-98.550459588076052</c:v>
                </c:pt>
                <c:pt idx="14">
                  <c:v>-98.578139994817491</c:v>
                </c:pt>
                <c:pt idx="15">
                  <c:v>-98.585111614873767</c:v>
                </c:pt>
                <c:pt idx="16">
                  <c:v>-98.544328856142698</c:v>
                </c:pt>
                <c:pt idx="17">
                  <c:v>-98.440089607900177</c:v>
                </c:pt>
                <c:pt idx="18">
                  <c:v>-98.261114418356556</c:v>
                </c:pt>
                <c:pt idx="19">
                  <c:v>-98.001511981340343</c:v>
                </c:pt>
                <c:pt idx="20">
                  <c:v>-97.661174586831947</c:v>
                </c:pt>
                <c:pt idx="21">
                  <c:v>-97.245614899648174</c:v>
                </c:pt>
                <c:pt idx="22">
                  <c:v>-96.90615854893295</c:v>
                </c:pt>
                <c:pt idx="23">
                  <c:v>-97.369624883966523</c:v>
                </c:pt>
                <c:pt idx="24">
                  <c:v>-97.764877746379568</c:v>
                </c:pt>
                <c:pt idx="25">
                  <c:v>-98.082822230964737</c:v>
                </c:pt>
                <c:pt idx="26">
                  <c:v>-98.319476033690933</c:v>
                </c:pt>
                <c:pt idx="27">
                  <c:v>-98.476582342464539</c:v>
                </c:pt>
                <c:pt idx="28">
                  <c:v>-98.561612178538581</c:v>
                </c:pt>
                <c:pt idx="29">
                  <c:v>-98.587213959170526</c:v>
                </c:pt>
                <c:pt idx="30">
                  <c:v>-98.570071941045015</c:v>
                </c:pt>
                <c:pt idx="31">
                  <c:v>-98.543007319602751</c:v>
                </c:pt>
                <c:pt idx="32">
                  <c:v>-98.505811340208339</c:v>
                </c:pt>
                <c:pt idx="33">
                  <c:v>-98.466277805576311</c:v>
                </c:pt>
                <c:pt idx="34">
                  <c:v>-98.439740270250923</c:v>
                </c:pt>
                <c:pt idx="35">
                  <c:v>-98.445221565329945</c:v>
                </c:pt>
                <c:pt idx="36">
                  <c:v>-98.476654299226254</c:v>
                </c:pt>
                <c:pt idx="37">
                  <c:v>-98.517292073018439</c:v>
                </c:pt>
                <c:pt idx="38">
                  <c:v>-98.550459588077146</c:v>
                </c:pt>
                <c:pt idx="39">
                  <c:v>-98.578139596733507</c:v>
                </c:pt>
                <c:pt idx="40">
                  <c:v>-98.58511146929149</c:v>
                </c:pt>
                <c:pt idx="41">
                  <c:v>-98.544328292162064</c:v>
                </c:pt>
                <c:pt idx="42">
                  <c:v>-98.440089607900092</c:v>
                </c:pt>
                <c:pt idx="43">
                  <c:v>-98.261114418356343</c:v>
                </c:pt>
                <c:pt idx="44">
                  <c:v>-98.001511981340443</c:v>
                </c:pt>
                <c:pt idx="45">
                  <c:v>-97.661174586834463</c:v>
                </c:pt>
                <c:pt idx="46">
                  <c:v>-97.245614899650178</c:v>
                </c:pt>
                <c:pt idx="47">
                  <c:v>-96.906158548932453</c:v>
                </c:pt>
                <c:pt idx="48">
                  <c:v>-97.369624884007138</c:v>
                </c:pt>
                <c:pt idx="49">
                  <c:v>-97.764877746383291</c:v>
                </c:pt>
                <c:pt idx="50">
                  <c:v>-98.082822230964155</c:v>
                </c:pt>
                <c:pt idx="51">
                  <c:v>-98.319476033689853</c:v>
                </c:pt>
                <c:pt idx="52">
                  <c:v>-98.476582342463686</c:v>
                </c:pt>
                <c:pt idx="53">
                  <c:v>-98.561611393642337</c:v>
                </c:pt>
                <c:pt idx="54">
                  <c:v>-98.587213954646643</c:v>
                </c:pt>
                <c:pt idx="55">
                  <c:v>-98.570071775434954</c:v>
                </c:pt>
                <c:pt idx="56">
                  <c:v>-98.54300689059022</c:v>
                </c:pt>
                <c:pt idx="57">
                  <c:v>-98.505811467690577</c:v>
                </c:pt>
                <c:pt idx="58">
                  <c:v>-98.466277935601028</c:v>
                </c:pt>
                <c:pt idx="59">
                  <c:v>-98.439740270249359</c:v>
                </c:pt>
                <c:pt idx="60">
                  <c:v>-98.445218599346319</c:v>
                </c:pt>
                <c:pt idx="61">
                  <c:v>-98.476654757644127</c:v>
                </c:pt>
                <c:pt idx="62">
                  <c:v>-98.517292073017146</c:v>
                </c:pt>
                <c:pt idx="63">
                  <c:v>-98.550459588076123</c:v>
                </c:pt>
                <c:pt idx="64">
                  <c:v>-98.578139994817519</c:v>
                </c:pt>
                <c:pt idx="65">
                  <c:v>-98.585111614873739</c:v>
                </c:pt>
                <c:pt idx="66">
                  <c:v>-98.544328856142656</c:v>
                </c:pt>
                <c:pt idx="67">
                  <c:v>-98.440089607900262</c:v>
                </c:pt>
                <c:pt idx="68">
                  <c:v>-98.26111441835657</c:v>
                </c:pt>
                <c:pt idx="69">
                  <c:v>-98.001511981340414</c:v>
                </c:pt>
                <c:pt idx="70">
                  <c:v>-97.661174586831933</c:v>
                </c:pt>
                <c:pt idx="71">
                  <c:v>-97.245614899648217</c:v>
                </c:pt>
                <c:pt idx="72">
                  <c:v>-96.906158548932979</c:v>
                </c:pt>
                <c:pt idx="73">
                  <c:v>-97.369624884007607</c:v>
                </c:pt>
                <c:pt idx="74">
                  <c:v>-97.764877746379554</c:v>
                </c:pt>
                <c:pt idx="75">
                  <c:v>-98.082822230964908</c:v>
                </c:pt>
                <c:pt idx="76">
                  <c:v>-98.319476033690904</c:v>
                </c:pt>
                <c:pt idx="77">
                  <c:v>-98.476582342464539</c:v>
                </c:pt>
                <c:pt idx="78">
                  <c:v>-98.561612178538567</c:v>
                </c:pt>
                <c:pt idx="79">
                  <c:v>-98.587213959170555</c:v>
                </c:pt>
                <c:pt idx="80">
                  <c:v>-98.570071941045057</c:v>
                </c:pt>
                <c:pt idx="81">
                  <c:v>-98.543007319602665</c:v>
                </c:pt>
                <c:pt idx="82">
                  <c:v>-98.505811340208226</c:v>
                </c:pt>
                <c:pt idx="83">
                  <c:v>-98.466277805576311</c:v>
                </c:pt>
                <c:pt idx="84">
                  <c:v>-98.43974027025088</c:v>
                </c:pt>
                <c:pt idx="85">
                  <c:v>-98.445221565329888</c:v>
                </c:pt>
                <c:pt idx="86">
                  <c:v>-98.476654299226254</c:v>
                </c:pt>
                <c:pt idx="87">
                  <c:v>-98.517292073018453</c:v>
                </c:pt>
                <c:pt idx="88">
                  <c:v>-98.550459588077146</c:v>
                </c:pt>
                <c:pt idx="89">
                  <c:v>-98.57813959673345</c:v>
                </c:pt>
                <c:pt idx="90">
                  <c:v>-98.585111469291576</c:v>
                </c:pt>
                <c:pt idx="91">
                  <c:v>-98.544328292162135</c:v>
                </c:pt>
                <c:pt idx="92">
                  <c:v>-98.440089607900063</c:v>
                </c:pt>
                <c:pt idx="93">
                  <c:v>-98.261114418356357</c:v>
                </c:pt>
                <c:pt idx="94">
                  <c:v>-98.001511981340514</c:v>
                </c:pt>
                <c:pt idx="95">
                  <c:v>-97.661174586834491</c:v>
                </c:pt>
                <c:pt idx="96">
                  <c:v>-97.245614899650192</c:v>
                </c:pt>
                <c:pt idx="97">
                  <c:v>-96.906158548932467</c:v>
                </c:pt>
                <c:pt idx="98">
                  <c:v>-97.369624884000189</c:v>
                </c:pt>
                <c:pt idx="99">
                  <c:v>-97.764877746381885</c:v>
                </c:pt>
                <c:pt idx="100">
                  <c:v>-98.082822230964183</c:v>
                </c:pt>
                <c:pt idx="101">
                  <c:v>-98.319476033689895</c:v>
                </c:pt>
                <c:pt idx="102">
                  <c:v>-98.476582342463729</c:v>
                </c:pt>
                <c:pt idx="103">
                  <c:v>-98.561611393642323</c:v>
                </c:pt>
                <c:pt idx="104">
                  <c:v>-98.587213954646629</c:v>
                </c:pt>
                <c:pt idx="105">
                  <c:v>-98.570071775434997</c:v>
                </c:pt>
                <c:pt idx="106">
                  <c:v>-98.543006890590192</c:v>
                </c:pt>
                <c:pt idx="107">
                  <c:v>-98.50581146769062</c:v>
                </c:pt>
                <c:pt idx="108">
                  <c:v>-98.466277935600971</c:v>
                </c:pt>
                <c:pt idx="109">
                  <c:v>-98.439740270249374</c:v>
                </c:pt>
                <c:pt idx="110">
                  <c:v>-98.44521859934629</c:v>
                </c:pt>
                <c:pt idx="111">
                  <c:v>-98.476654757644155</c:v>
                </c:pt>
                <c:pt idx="112">
                  <c:v>-98.517292073017103</c:v>
                </c:pt>
                <c:pt idx="113">
                  <c:v>-98.550459588076095</c:v>
                </c:pt>
                <c:pt idx="114">
                  <c:v>-98.578139994817477</c:v>
                </c:pt>
                <c:pt idx="115">
                  <c:v>-98.585111614873739</c:v>
                </c:pt>
                <c:pt idx="116">
                  <c:v>-98.544328856142698</c:v>
                </c:pt>
                <c:pt idx="117">
                  <c:v>-98.440089607900177</c:v>
                </c:pt>
                <c:pt idx="118">
                  <c:v>-98.261114418356499</c:v>
                </c:pt>
                <c:pt idx="119">
                  <c:v>-98.001511981340627</c:v>
                </c:pt>
                <c:pt idx="120">
                  <c:v>-97.661174586834036</c:v>
                </c:pt>
                <c:pt idx="121">
                  <c:v>-97.245614899648146</c:v>
                </c:pt>
                <c:pt idx="122">
                  <c:v>-96.906158549183516</c:v>
                </c:pt>
                <c:pt idx="123">
                  <c:v>-97.369624884007692</c:v>
                </c:pt>
                <c:pt idx="124">
                  <c:v>-97.764877746379597</c:v>
                </c:pt>
                <c:pt idx="125">
                  <c:v>-98.082822230964879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3B-4750-AE4F-32381A12F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1664095"/>
        <c:axId val="1261663135"/>
      </c:lineChart>
      <c:lineChart>
        <c:grouping val="standard"/>
        <c:varyColors val="0"/>
        <c:ser>
          <c:idx val="1"/>
          <c:order val="1"/>
          <c:tx>
            <c:v>Angle vs Time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Sheet1!$B$5:$B$130</c:f>
              <c:numCache>
                <c:formatCode>0.00</c:formatCode>
                <c:ptCount val="126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0.24000000000000002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0.39999999999999997</c:v>
                </c:pt>
                <c:pt idx="11">
                  <c:v>0.43999999999999995</c:v>
                </c:pt>
                <c:pt idx="12">
                  <c:v>0.47999999999999993</c:v>
                </c:pt>
                <c:pt idx="13">
                  <c:v>0.51999999999999991</c:v>
                </c:pt>
                <c:pt idx="14">
                  <c:v>0.55999999999999994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0.72000000000000008</c:v>
                </c:pt>
                <c:pt idx="19">
                  <c:v>0.76000000000000012</c:v>
                </c:pt>
                <c:pt idx="20">
                  <c:v>0.80000000000000016</c:v>
                </c:pt>
                <c:pt idx="21">
                  <c:v>0.84000000000000019</c:v>
                </c:pt>
                <c:pt idx="22">
                  <c:v>0.88000000000000023</c:v>
                </c:pt>
                <c:pt idx="23">
                  <c:v>0.92000000000000026</c:v>
                </c:pt>
                <c:pt idx="24">
                  <c:v>0.9600000000000003</c:v>
                </c:pt>
                <c:pt idx="25">
                  <c:v>1.0000000000000002</c:v>
                </c:pt>
                <c:pt idx="26">
                  <c:v>1.0400000000000003</c:v>
                </c:pt>
                <c:pt idx="27">
                  <c:v>1.0800000000000003</c:v>
                </c:pt>
                <c:pt idx="28">
                  <c:v>1.1200000000000003</c:v>
                </c:pt>
                <c:pt idx="29">
                  <c:v>1.1600000000000004</c:v>
                </c:pt>
                <c:pt idx="30">
                  <c:v>1.2000000000000004</c:v>
                </c:pt>
                <c:pt idx="31">
                  <c:v>1.2400000000000004</c:v>
                </c:pt>
                <c:pt idx="32">
                  <c:v>1.2800000000000005</c:v>
                </c:pt>
                <c:pt idx="33">
                  <c:v>1.3200000000000005</c:v>
                </c:pt>
                <c:pt idx="34">
                  <c:v>1.3600000000000005</c:v>
                </c:pt>
                <c:pt idx="35">
                  <c:v>1.4000000000000006</c:v>
                </c:pt>
                <c:pt idx="36">
                  <c:v>1.4400000000000006</c:v>
                </c:pt>
                <c:pt idx="37">
                  <c:v>1.4800000000000006</c:v>
                </c:pt>
                <c:pt idx="38">
                  <c:v>1.5200000000000007</c:v>
                </c:pt>
                <c:pt idx="39">
                  <c:v>1.5600000000000007</c:v>
                </c:pt>
                <c:pt idx="40">
                  <c:v>1.6000000000000008</c:v>
                </c:pt>
                <c:pt idx="41">
                  <c:v>1.6400000000000008</c:v>
                </c:pt>
                <c:pt idx="42">
                  <c:v>1.6800000000000008</c:v>
                </c:pt>
                <c:pt idx="43">
                  <c:v>1.7200000000000009</c:v>
                </c:pt>
                <c:pt idx="44">
                  <c:v>1.7600000000000009</c:v>
                </c:pt>
                <c:pt idx="45">
                  <c:v>1.8000000000000009</c:v>
                </c:pt>
                <c:pt idx="46">
                  <c:v>1.840000000000001</c:v>
                </c:pt>
                <c:pt idx="47">
                  <c:v>1.880000000000001</c:v>
                </c:pt>
                <c:pt idx="48">
                  <c:v>1.920000000000001</c:v>
                </c:pt>
                <c:pt idx="49">
                  <c:v>1.9600000000000011</c:v>
                </c:pt>
                <c:pt idx="50">
                  <c:v>2.0000000000000009</c:v>
                </c:pt>
                <c:pt idx="51">
                  <c:v>2.0400000000000009</c:v>
                </c:pt>
                <c:pt idx="52">
                  <c:v>2.080000000000001</c:v>
                </c:pt>
                <c:pt idx="53">
                  <c:v>2.120000000000001</c:v>
                </c:pt>
                <c:pt idx="54">
                  <c:v>2.160000000000001</c:v>
                </c:pt>
                <c:pt idx="55">
                  <c:v>2.2000000000000011</c:v>
                </c:pt>
                <c:pt idx="56">
                  <c:v>2.2400000000000011</c:v>
                </c:pt>
                <c:pt idx="57">
                  <c:v>2.2800000000000011</c:v>
                </c:pt>
                <c:pt idx="58">
                  <c:v>2.3200000000000012</c:v>
                </c:pt>
                <c:pt idx="59">
                  <c:v>2.3600000000000012</c:v>
                </c:pt>
                <c:pt idx="60">
                  <c:v>2.4000000000000012</c:v>
                </c:pt>
                <c:pt idx="61">
                  <c:v>2.4400000000000013</c:v>
                </c:pt>
                <c:pt idx="62">
                  <c:v>2.4800000000000013</c:v>
                </c:pt>
                <c:pt idx="63">
                  <c:v>2.5200000000000014</c:v>
                </c:pt>
                <c:pt idx="64">
                  <c:v>2.5600000000000014</c:v>
                </c:pt>
                <c:pt idx="65">
                  <c:v>2.6000000000000014</c:v>
                </c:pt>
                <c:pt idx="66">
                  <c:v>2.6400000000000015</c:v>
                </c:pt>
                <c:pt idx="67">
                  <c:v>2.6800000000000015</c:v>
                </c:pt>
                <c:pt idx="68">
                  <c:v>2.7200000000000015</c:v>
                </c:pt>
                <c:pt idx="69">
                  <c:v>2.7600000000000016</c:v>
                </c:pt>
                <c:pt idx="70">
                  <c:v>2.8000000000000016</c:v>
                </c:pt>
                <c:pt idx="71">
                  <c:v>2.8400000000000016</c:v>
                </c:pt>
                <c:pt idx="72">
                  <c:v>2.8800000000000017</c:v>
                </c:pt>
                <c:pt idx="73">
                  <c:v>2.9200000000000017</c:v>
                </c:pt>
                <c:pt idx="74">
                  <c:v>2.9600000000000017</c:v>
                </c:pt>
                <c:pt idx="75">
                  <c:v>3.0000000000000018</c:v>
                </c:pt>
                <c:pt idx="76">
                  <c:v>3.0400000000000018</c:v>
                </c:pt>
                <c:pt idx="77">
                  <c:v>3.0800000000000018</c:v>
                </c:pt>
                <c:pt idx="78">
                  <c:v>3.1200000000000019</c:v>
                </c:pt>
                <c:pt idx="79">
                  <c:v>3.1600000000000019</c:v>
                </c:pt>
                <c:pt idx="80">
                  <c:v>3.200000000000002</c:v>
                </c:pt>
                <c:pt idx="81">
                  <c:v>3.240000000000002</c:v>
                </c:pt>
                <c:pt idx="82">
                  <c:v>3.280000000000002</c:v>
                </c:pt>
                <c:pt idx="83">
                  <c:v>3.3200000000000021</c:v>
                </c:pt>
                <c:pt idx="84">
                  <c:v>3.3600000000000021</c:v>
                </c:pt>
                <c:pt idx="85">
                  <c:v>3.4000000000000021</c:v>
                </c:pt>
                <c:pt idx="86">
                  <c:v>3.4400000000000022</c:v>
                </c:pt>
                <c:pt idx="87">
                  <c:v>3.4800000000000022</c:v>
                </c:pt>
                <c:pt idx="88">
                  <c:v>3.5200000000000022</c:v>
                </c:pt>
                <c:pt idx="89">
                  <c:v>3.5600000000000023</c:v>
                </c:pt>
                <c:pt idx="90">
                  <c:v>3.6000000000000023</c:v>
                </c:pt>
                <c:pt idx="91">
                  <c:v>3.6400000000000023</c:v>
                </c:pt>
                <c:pt idx="92">
                  <c:v>3.6800000000000024</c:v>
                </c:pt>
                <c:pt idx="93">
                  <c:v>3.7200000000000024</c:v>
                </c:pt>
                <c:pt idx="94">
                  <c:v>3.7600000000000025</c:v>
                </c:pt>
                <c:pt idx="95">
                  <c:v>3.8000000000000025</c:v>
                </c:pt>
                <c:pt idx="96">
                  <c:v>3.8400000000000025</c:v>
                </c:pt>
                <c:pt idx="97">
                  <c:v>3.8800000000000026</c:v>
                </c:pt>
                <c:pt idx="98">
                  <c:v>3.9200000000000026</c:v>
                </c:pt>
                <c:pt idx="99">
                  <c:v>3.9600000000000026</c:v>
                </c:pt>
                <c:pt idx="100">
                  <c:v>4.0000000000000027</c:v>
                </c:pt>
                <c:pt idx="101">
                  <c:v>4.0400000000000027</c:v>
                </c:pt>
                <c:pt idx="102">
                  <c:v>4.0800000000000027</c:v>
                </c:pt>
                <c:pt idx="103">
                  <c:v>4.1200000000000028</c:v>
                </c:pt>
                <c:pt idx="104">
                  <c:v>4.1600000000000028</c:v>
                </c:pt>
                <c:pt idx="105">
                  <c:v>4.2000000000000028</c:v>
                </c:pt>
                <c:pt idx="106">
                  <c:v>4.2400000000000029</c:v>
                </c:pt>
                <c:pt idx="107">
                  <c:v>4.2800000000000029</c:v>
                </c:pt>
                <c:pt idx="108">
                  <c:v>4.3200000000000029</c:v>
                </c:pt>
                <c:pt idx="109">
                  <c:v>4.360000000000003</c:v>
                </c:pt>
                <c:pt idx="110">
                  <c:v>4.400000000000003</c:v>
                </c:pt>
                <c:pt idx="111">
                  <c:v>4.4400000000000031</c:v>
                </c:pt>
                <c:pt idx="112">
                  <c:v>4.4800000000000031</c:v>
                </c:pt>
                <c:pt idx="113">
                  <c:v>4.5200000000000031</c:v>
                </c:pt>
                <c:pt idx="114">
                  <c:v>4.5600000000000032</c:v>
                </c:pt>
                <c:pt idx="115">
                  <c:v>4.6000000000000032</c:v>
                </c:pt>
                <c:pt idx="116">
                  <c:v>4.6400000000000032</c:v>
                </c:pt>
                <c:pt idx="117">
                  <c:v>4.6800000000000033</c:v>
                </c:pt>
                <c:pt idx="118">
                  <c:v>4.7200000000000033</c:v>
                </c:pt>
                <c:pt idx="119">
                  <c:v>4.7600000000000033</c:v>
                </c:pt>
                <c:pt idx="120">
                  <c:v>4.8000000000000034</c:v>
                </c:pt>
                <c:pt idx="121">
                  <c:v>4.8400000000000034</c:v>
                </c:pt>
                <c:pt idx="122">
                  <c:v>4.8800000000000034</c:v>
                </c:pt>
                <c:pt idx="123">
                  <c:v>4.9200000000000035</c:v>
                </c:pt>
                <c:pt idx="124">
                  <c:v>4.9600000000000035</c:v>
                </c:pt>
                <c:pt idx="125">
                  <c:v>5</c:v>
                </c:pt>
              </c:numCache>
            </c:numRef>
          </c:cat>
          <c:val>
            <c:numRef>
              <c:f>Sheet1!$T$5:$T$130</c:f>
              <c:numCache>
                <c:formatCode>0.00</c:formatCode>
                <c:ptCount val="126"/>
                <c:pt idx="0">
                  <c:v>0.24529976904329934</c:v>
                </c:pt>
                <c:pt idx="1">
                  <c:v>0.16176131070077263</c:v>
                </c:pt>
                <c:pt idx="2">
                  <c:v>0.10068525175809806</c:v>
                </c:pt>
                <c:pt idx="3">
                  <c:v>5.6547898371302828E-2</c:v>
                </c:pt>
                <c:pt idx="4">
                  <c:v>2.5555989554261076E-2</c:v>
                </c:pt>
                <c:pt idx="5">
                  <c:v>5.2071388207501484E-3</c:v>
                </c:pt>
                <c:pt idx="6">
                  <c:v>6.1952220291679417E-3</c:v>
                </c:pt>
                <c:pt idx="7">
                  <c:v>1.0079471407450401E-2</c:v>
                </c:pt>
                <c:pt idx="8">
                  <c:v>8.1001640355540909E-3</c:v>
                </c:pt>
                <c:pt idx="9">
                  <c:v>2.4336623995029742E-3</c:v>
                </c:pt>
                <c:pt idx="10">
                  <c:v>4.2517756293122847E-3</c:v>
                </c:pt>
                <c:pt idx="11">
                  <c:v>9.134695132863406E-3</c:v>
                </c:pt>
                <c:pt idx="12">
                  <c:v>9.6590844754993865E-3</c:v>
                </c:pt>
                <c:pt idx="13">
                  <c:v>3.8091593180882405E-3</c:v>
                </c:pt>
                <c:pt idx="14">
                  <c:v>9.9644259259944485E-3</c:v>
                </c:pt>
                <c:pt idx="15">
                  <c:v>3.3111532347640797E-2</c:v>
                </c:pt>
                <c:pt idx="16">
                  <c:v>6.7501948107577717E-2</c:v>
                </c:pt>
                <c:pt idx="17">
                  <c:v>0.11595493481868975</c:v>
                </c:pt>
                <c:pt idx="18">
                  <c:v>0.18270760483103926</c:v>
                </c:pt>
                <c:pt idx="19">
                  <c:v>0.27384830246203901</c:v>
                </c:pt>
                <c:pt idx="20">
                  <c:v>0.39778029992632513</c:v>
                </c:pt>
                <c:pt idx="21">
                  <c:v>1.8672403299380245</c:v>
                </c:pt>
                <c:pt idx="22">
                  <c:v>0.31137878714658829</c:v>
                </c:pt>
                <c:pt idx="23">
                  <c:v>0.51327793078708084</c:v>
                </c:pt>
                <c:pt idx="24">
                  <c:v>0.35900044180469498</c:v>
                </c:pt>
                <c:pt idx="25">
                  <c:v>0.24529976904305742</c:v>
                </c:pt>
                <c:pt idx="26">
                  <c:v>0.16176131070055236</c:v>
                </c:pt>
                <c:pt idx="27">
                  <c:v>0.10068525175780639</c:v>
                </c:pt>
                <c:pt idx="28">
                  <c:v>5.6548131313587616E-2</c:v>
                </c:pt>
                <c:pt idx="29">
                  <c:v>2.5555958570964599E-2</c:v>
                </c:pt>
                <c:pt idx="30">
                  <c:v>5.2070853139375472E-3</c:v>
                </c:pt>
                <c:pt idx="31">
                  <c:v>6.1953020657237812E-3</c:v>
                </c:pt>
                <c:pt idx="32">
                  <c:v>1.0079551786902438E-2</c:v>
                </c:pt>
                <c:pt idx="33">
                  <c:v>8.1001792636865629E-3</c:v>
                </c:pt>
                <c:pt idx="34">
                  <c:v>2.4336623995941829E-3</c:v>
                </c:pt>
                <c:pt idx="35">
                  <c:v>4.2531712663156519E-3</c:v>
                </c:pt>
                <c:pt idx="36">
                  <c:v>9.1347053693463156E-3</c:v>
                </c:pt>
                <c:pt idx="37">
                  <c:v>9.6590844758658416E-3</c:v>
                </c:pt>
                <c:pt idx="38">
                  <c:v>3.8091593183927903E-3</c:v>
                </c:pt>
                <c:pt idx="39">
                  <c:v>9.9645417961000578E-3</c:v>
                </c:pt>
                <c:pt idx="40">
                  <c:v>3.3111519797568469E-2</c:v>
                </c:pt>
                <c:pt idx="41">
                  <c:v>6.7502020743983995E-2</c:v>
                </c:pt>
                <c:pt idx="42">
                  <c:v>0.1159549348187431</c:v>
                </c:pt>
                <c:pt idx="43">
                  <c:v>0.18270760483120516</c:v>
                </c:pt>
                <c:pt idx="44">
                  <c:v>0.27384830246198305</c:v>
                </c:pt>
                <c:pt idx="45">
                  <c:v>0.39778029992505543</c:v>
                </c:pt>
                <c:pt idx="46">
                  <c:v>1.8672403299383615</c:v>
                </c:pt>
                <c:pt idx="47">
                  <c:v>0.31137878714619366</c:v>
                </c:pt>
                <c:pt idx="48">
                  <c:v>0.5132779307728822</c:v>
                </c:pt>
                <c:pt idx="49">
                  <c:v>0.35900044180388413</c:v>
                </c:pt>
                <c:pt idx="50">
                  <c:v>0.24529976904328821</c:v>
                </c:pt>
                <c:pt idx="51">
                  <c:v>0.16176131070075286</c:v>
                </c:pt>
                <c:pt idx="52">
                  <c:v>0.10068525175803952</c:v>
                </c:pt>
                <c:pt idx="53">
                  <c:v>5.6547898371283573E-2</c:v>
                </c:pt>
                <c:pt idx="54">
                  <c:v>2.5555989554222697E-2</c:v>
                </c:pt>
                <c:pt idx="55">
                  <c:v>5.2071388207628926E-3</c:v>
                </c:pt>
                <c:pt idx="56">
                  <c:v>6.1952220291742865E-3</c:v>
                </c:pt>
                <c:pt idx="57">
                  <c:v>1.0079471407488263E-2</c:v>
                </c:pt>
                <c:pt idx="58">
                  <c:v>8.1001640355226109E-3</c:v>
                </c:pt>
                <c:pt idx="59">
                  <c:v>2.4336623994966927E-3</c:v>
                </c:pt>
                <c:pt idx="60">
                  <c:v>4.2517756292871512E-3</c:v>
                </c:pt>
                <c:pt idx="61">
                  <c:v>9.1346951328886029E-3</c:v>
                </c:pt>
                <c:pt idx="62">
                  <c:v>9.659084475499383E-3</c:v>
                </c:pt>
                <c:pt idx="63">
                  <c:v>3.8091593181136243E-3</c:v>
                </c:pt>
                <c:pt idx="64">
                  <c:v>9.9644259259816913E-3</c:v>
                </c:pt>
                <c:pt idx="65">
                  <c:v>3.3111532347647223E-2</c:v>
                </c:pt>
                <c:pt idx="66">
                  <c:v>6.7501948107551835E-2</c:v>
                </c:pt>
                <c:pt idx="67">
                  <c:v>0.1159549348186957</c:v>
                </c:pt>
                <c:pt idx="68">
                  <c:v>0.18270760483099988</c:v>
                </c:pt>
                <c:pt idx="69">
                  <c:v>0.27384830246197234</c:v>
                </c:pt>
                <c:pt idx="70">
                  <c:v>0.39778029992631797</c:v>
                </c:pt>
                <c:pt idx="71">
                  <c:v>1.8672403299382423</c:v>
                </c:pt>
                <c:pt idx="72">
                  <c:v>0.31137878714658779</c:v>
                </c:pt>
                <c:pt idx="73">
                  <c:v>0.51327793077262651</c:v>
                </c:pt>
                <c:pt idx="74">
                  <c:v>0.35900044180474594</c:v>
                </c:pt>
                <c:pt idx="75">
                  <c:v>0.24529976904387815</c:v>
                </c:pt>
                <c:pt idx="76">
                  <c:v>0.16176131070053923</c:v>
                </c:pt>
                <c:pt idx="77">
                  <c:v>0.10068525175786489</c:v>
                </c:pt>
                <c:pt idx="78">
                  <c:v>5.6548131313581156E-2</c:v>
                </c:pt>
                <c:pt idx="79">
                  <c:v>2.555595857099666E-2</c:v>
                </c:pt>
                <c:pt idx="80">
                  <c:v>5.2070853139566569E-3</c:v>
                </c:pt>
                <c:pt idx="81">
                  <c:v>6.1953020657111038E-3</c:v>
                </c:pt>
                <c:pt idx="82">
                  <c:v>1.0079551786864567E-2</c:v>
                </c:pt>
                <c:pt idx="83">
                  <c:v>8.100179263686556E-3</c:v>
                </c:pt>
                <c:pt idx="84">
                  <c:v>2.4336623996004665E-3</c:v>
                </c:pt>
                <c:pt idx="85">
                  <c:v>4.2531712663408166E-3</c:v>
                </c:pt>
                <c:pt idx="86">
                  <c:v>9.1347053693085125E-3</c:v>
                </c:pt>
                <c:pt idx="87">
                  <c:v>9.6590844758595237E-3</c:v>
                </c:pt>
                <c:pt idx="88">
                  <c:v>3.8091593184181689E-3</c:v>
                </c:pt>
                <c:pt idx="89">
                  <c:v>9.9645417960617846E-3</c:v>
                </c:pt>
                <c:pt idx="90">
                  <c:v>3.3111519797626277E-2</c:v>
                </c:pt>
                <c:pt idx="91">
                  <c:v>6.7502020744016289E-2</c:v>
                </c:pt>
                <c:pt idx="92">
                  <c:v>0.11595493481874973</c:v>
                </c:pt>
                <c:pt idx="93">
                  <c:v>0.18270760483119194</c:v>
                </c:pt>
                <c:pt idx="94">
                  <c:v>0.27384830246199593</c:v>
                </c:pt>
                <c:pt idx="95">
                  <c:v>0.39778029992506286</c:v>
                </c:pt>
                <c:pt idx="96">
                  <c:v>1.8672403299384479</c:v>
                </c:pt>
                <c:pt idx="97">
                  <c:v>0.31137878714625655</c:v>
                </c:pt>
                <c:pt idx="98">
                  <c:v>0.51327793076979478</c:v>
                </c:pt>
                <c:pt idx="99">
                  <c:v>0.3590004418038974</c:v>
                </c:pt>
                <c:pt idx="100">
                  <c:v>0.24529976904329501</c:v>
                </c:pt>
                <c:pt idx="101">
                  <c:v>0.1617613107007726</c:v>
                </c:pt>
                <c:pt idx="102">
                  <c:v>0.10068525175809806</c:v>
                </c:pt>
                <c:pt idx="103">
                  <c:v>5.6547898371264137E-2</c:v>
                </c:pt>
                <c:pt idx="104">
                  <c:v>2.5555989554248322E-2</c:v>
                </c:pt>
                <c:pt idx="105">
                  <c:v>5.2071388207565183E-3</c:v>
                </c:pt>
                <c:pt idx="106">
                  <c:v>6.1952220291742787E-3</c:v>
                </c:pt>
                <c:pt idx="107">
                  <c:v>1.0079471407444088E-2</c:v>
                </c:pt>
                <c:pt idx="108">
                  <c:v>8.1001640355226178E-3</c:v>
                </c:pt>
                <c:pt idx="109">
                  <c:v>2.4336623994903957E-3</c:v>
                </c:pt>
                <c:pt idx="110">
                  <c:v>4.2517756292997271E-3</c:v>
                </c:pt>
                <c:pt idx="111">
                  <c:v>9.1346951329011935E-3</c:v>
                </c:pt>
                <c:pt idx="112">
                  <c:v>9.6590844754930634E-3</c:v>
                </c:pt>
                <c:pt idx="113">
                  <c:v>3.8091593181072783E-3</c:v>
                </c:pt>
                <c:pt idx="114">
                  <c:v>9.9644259259625556E-3</c:v>
                </c:pt>
                <c:pt idx="115">
                  <c:v>3.3111532347672924E-2</c:v>
                </c:pt>
                <c:pt idx="116">
                  <c:v>6.7501948107603627E-2</c:v>
                </c:pt>
                <c:pt idx="117">
                  <c:v>0.1159549348187288</c:v>
                </c:pt>
                <c:pt idx="118">
                  <c:v>0.18270760483103296</c:v>
                </c:pt>
                <c:pt idx="119">
                  <c:v>0.27384830246197917</c:v>
                </c:pt>
                <c:pt idx="120">
                  <c:v>0.3977802999249837</c:v>
                </c:pt>
                <c:pt idx="121">
                  <c:v>1.8672403299379154</c:v>
                </c:pt>
                <c:pt idx="122">
                  <c:v>0.31137878726432655</c:v>
                </c:pt>
                <c:pt idx="123">
                  <c:v>0.51327793077260342</c:v>
                </c:pt>
                <c:pt idx="124">
                  <c:v>0.35900044180466195</c:v>
                </c:pt>
                <c:pt idx="125">
                  <c:v>0.24529976904388495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3B-4750-AE4F-32381A12F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7270143"/>
        <c:axId val="2114885583"/>
      </c:lineChart>
      <c:catAx>
        <c:axId val="1261664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663135"/>
        <c:crosses val="autoZero"/>
        <c:auto val="1"/>
        <c:lblAlgn val="ctr"/>
        <c:lblOffset val="100"/>
        <c:tickMarkSkip val="5"/>
        <c:noMultiLvlLbl val="0"/>
      </c:catAx>
      <c:valAx>
        <c:axId val="126166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664095"/>
        <c:crosses val="autoZero"/>
        <c:crossBetween val="between"/>
      </c:valAx>
      <c:valAx>
        <c:axId val="2114885583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270143"/>
        <c:crosses val="max"/>
        <c:crossBetween val="between"/>
      </c:valAx>
      <c:catAx>
        <c:axId val="2087270143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114885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Leg 1_Z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Sheet1!$B$5:$B$130</c:f>
              <c:numCache>
                <c:formatCode>0.00</c:formatCode>
                <c:ptCount val="126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0.24000000000000002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0.39999999999999997</c:v>
                </c:pt>
                <c:pt idx="11">
                  <c:v>0.43999999999999995</c:v>
                </c:pt>
                <c:pt idx="12">
                  <c:v>0.47999999999999993</c:v>
                </c:pt>
                <c:pt idx="13">
                  <c:v>0.51999999999999991</c:v>
                </c:pt>
                <c:pt idx="14">
                  <c:v>0.55999999999999994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0.72000000000000008</c:v>
                </c:pt>
                <c:pt idx="19">
                  <c:v>0.76000000000000012</c:v>
                </c:pt>
                <c:pt idx="20">
                  <c:v>0.80000000000000016</c:v>
                </c:pt>
                <c:pt idx="21">
                  <c:v>0.84000000000000019</c:v>
                </c:pt>
                <c:pt idx="22">
                  <c:v>0.88000000000000023</c:v>
                </c:pt>
                <c:pt idx="23">
                  <c:v>0.92000000000000026</c:v>
                </c:pt>
                <c:pt idx="24">
                  <c:v>0.9600000000000003</c:v>
                </c:pt>
                <c:pt idx="25">
                  <c:v>1.0000000000000002</c:v>
                </c:pt>
                <c:pt idx="26">
                  <c:v>1.0400000000000003</c:v>
                </c:pt>
                <c:pt idx="27">
                  <c:v>1.0800000000000003</c:v>
                </c:pt>
                <c:pt idx="28">
                  <c:v>1.1200000000000003</c:v>
                </c:pt>
                <c:pt idx="29">
                  <c:v>1.1600000000000004</c:v>
                </c:pt>
                <c:pt idx="30">
                  <c:v>1.2000000000000004</c:v>
                </c:pt>
                <c:pt idx="31">
                  <c:v>1.2400000000000004</c:v>
                </c:pt>
                <c:pt idx="32">
                  <c:v>1.2800000000000005</c:v>
                </c:pt>
                <c:pt idx="33">
                  <c:v>1.3200000000000005</c:v>
                </c:pt>
                <c:pt idx="34">
                  <c:v>1.3600000000000005</c:v>
                </c:pt>
                <c:pt idx="35">
                  <c:v>1.4000000000000006</c:v>
                </c:pt>
                <c:pt idx="36">
                  <c:v>1.4400000000000006</c:v>
                </c:pt>
                <c:pt idx="37">
                  <c:v>1.4800000000000006</c:v>
                </c:pt>
                <c:pt idx="38">
                  <c:v>1.5200000000000007</c:v>
                </c:pt>
                <c:pt idx="39">
                  <c:v>1.5600000000000007</c:v>
                </c:pt>
                <c:pt idx="40">
                  <c:v>1.6000000000000008</c:v>
                </c:pt>
                <c:pt idx="41">
                  <c:v>1.6400000000000008</c:v>
                </c:pt>
                <c:pt idx="42">
                  <c:v>1.6800000000000008</c:v>
                </c:pt>
                <c:pt idx="43">
                  <c:v>1.7200000000000009</c:v>
                </c:pt>
                <c:pt idx="44">
                  <c:v>1.7600000000000009</c:v>
                </c:pt>
                <c:pt idx="45">
                  <c:v>1.8000000000000009</c:v>
                </c:pt>
                <c:pt idx="46">
                  <c:v>1.840000000000001</c:v>
                </c:pt>
                <c:pt idx="47">
                  <c:v>1.880000000000001</c:v>
                </c:pt>
                <c:pt idx="48">
                  <c:v>1.920000000000001</c:v>
                </c:pt>
                <c:pt idx="49">
                  <c:v>1.9600000000000011</c:v>
                </c:pt>
                <c:pt idx="50">
                  <c:v>2.0000000000000009</c:v>
                </c:pt>
                <c:pt idx="51">
                  <c:v>2.0400000000000009</c:v>
                </c:pt>
                <c:pt idx="52">
                  <c:v>2.080000000000001</c:v>
                </c:pt>
                <c:pt idx="53">
                  <c:v>2.120000000000001</c:v>
                </c:pt>
                <c:pt idx="54">
                  <c:v>2.160000000000001</c:v>
                </c:pt>
                <c:pt idx="55">
                  <c:v>2.2000000000000011</c:v>
                </c:pt>
                <c:pt idx="56">
                  <c:v>2.2400000000000011</c:v>
                </c:pt>
                <c:pt idx="57">
                  <c:v>2.2800000000000011</c:v>
                </c:pt>
                <c:pt idx="58">
                  <c:v>2.3200000000000012</c:v>
                </c:pt>
                <c:pt idx="59">
                  <c:v>2.3600000000000012</c:v>
                </c:pt>
                <c:pt idx="60">
                  <c:v>2.4000000000000012</c:v>
                </c:pt>
                <c:pt idx="61">
                  <c:v>2.4400000000000013</c:v>
                </c:pt>
                <c:pt idx="62">
                  <c:v>2.4800000000000013</c:v>
                </c:pt>
                <c:pt idx="63">
                  <c:v>2.5200000000000014</c:v>
                </c:pt>
                <c:pt idx="64">
                  <c:v>2.5600000000000014</c:v>
                </c:pt>
                <c:pt idx="65">
                  <c:v>2.6000000000000014</c:v>
                </c:pt>
                <c:pt idx="66">
                  <c:v>2.6400000000000015</c:v>
                </c:pt>
                <c:pt idx="67">
                  <c:v>2.6800000000000015</c:v>
                </c:pt>
                <c:pt idx="68">
                  <c:v>2.7200000000000015</c:v>
                </c:pt>
                <c:pt idx="69">
                  <c:v>2.7600000000000016</c:v>
                </c:pt>
                <c:pt idx="70">
                  <c:v>2.8000000000000016</c:v>
                </c:pt>
                <c:pt idx="71">
                  <c:v>2.8400000000000016</c:v>
                </c:pt>
                <c:pt idx="72">
                  <c:v>2.8800000000000017</c:v>
                </c:pt>
                <c:pt idx="73">
                  <c:v>2.9200000000000017</c:v>
                </c:pt>
                <c:pt idx="74">
                  <c:v>2.9600000000000017</c:v>
                </c:pt>
                <c:pt idx="75">
                  <c:v>3.0000000000000018</c:v>
                </c:pt>
                <c:pt idx="76">
                  <c:v>3.0400000000000018</c:v>
                </c:pt>
                <c:pt idx="77">
                  <c:v>3.0800000000000018</c:v>
                </c:pt>
                <c:pt idx="78">
                  <c:v>3.1200000000000019</c:v>
                </c:pt>
                <c:pt idx="79">
                  <c:v>3.1600000000000019</c:v>
                </c:pt>
                <c:pt idx="80">
                  <c:v>3.200000000000002</c:v>
                </c:pt>
                <c:pt idx="81">
                  <c:v>3.240000000000002</c:v>
                </c:pt>
                <c:pt idx="82">
                  <c:v>3.280000000000002</c:v>
                </c:pt>
                <c:pt idx="83">
                  <c:v>3.3200000000000021</c:v>
                </c:pt>
                <c:pt idx="84">
                  <c:v>3.3600000000000021</c:v>
                </c:pt>
                <c:pt idx="85">
                  <c:v>3.4000000000000021</c:v>
                </c:pt>
                <c:pt idx="86">
                  <c:v>3.4400000000000022</c:v>
                </c:pt>
                <c:pt idx="87">
                  <c:v>3.4800000000000022</c:v>
                </c:pt>
                <c:pt idx="88">
                  <c:v>3.5200000000000022</c:v>
                </c:pt>
                <c:pt idx="89">
                  <c:v>3.5600000000000023</c:v>
                </c:pt>
                <c:pt idx="90">
                  <c:v>3.6000000000000023</c:v>
                </c:pt>
                <c:pt idx="91">
                  <c:v>3.6400000000000023</c:v>
                </c:pt>
                <c:pt idx="92">
                  <c:v>3.6800000000000024</c:v>
                </c:pt>
                <c:pt idx="93">
                  <c:v>3.7200000000000024</c:v>
                </c:pt>
                <c:pt idx="94">
                  <c:v>3.7600000000000025</c:v>
                </c:pt>
                <c:pt idx="95">
                  <c:v>3.8000000000000025</c:v>
                </c:pt>
                <c:pt idx="96">
                  <c:v>3.8400000000000025</c:v>
                </c:pt>
                <c:pt idx="97">
                  <c:v>3.8800000000000026</c:v>
                </c:pt>
                <c:pt idx="98">
                  <c:v>3.9200000000000026</c:v>
                </c:pt>
                <c:pt idx="99">
                  <c:v>3.9600000000000026</c:v>
                </c:pt>
                <c:pt idx="100">
                  <c:v>4.0000000000000027</c:v>
                </c:pt>
                <c:pt idx="101">
                  <c:v>4.0400000000000027</c:v>
                </c:pt>
                <c:pt idx="102">
                  <c:v>4.0800000000000027</c:v>
                </c:pt>
                <c:pt idx="103">
                  <c:v>4.1200000000000028</c:v>
                </c:pt>
                <c:pt idx="104">
                  <c:v>4.1600000000000028</c:v>
                </c:pt>
                <c:pt idx="105">
                  <c:v>4.2000000000000028</c:v>
                </c:pt>
                <c:pt idx="106">
                  <c:v>4.2400000000000029</c:v>
                </c:pt>
                <c:pt idx="107">
                  <c:v>4.2800000000000029</c:v>
                </c:pt>
                <c:pt idx="108">
                  <c:v>4.3200000000000029</c:v>
                </c:pt>
                <c:pt idx="109">
                  <c:v>4.360000000000003</c:v>
                </c:pt>
                <c:pt idx="110">
                  <c:v>4.400000000000003</c:v>
                </c:pt>
                <c:pt idx="111">
                  <c:v>4.4400000000000031</c:v>
                </c:pt>
                <c:pt idx="112">
                  <c:v>4.4800000000000031</c:v>
                </c:pt>
                <c:pt idx="113">
                  <c:v>4.5200000000000031</c:v>
                </c:pt>
                <c:pt idx="114">
                  <c:v>4.5600000000000032</c:v>
                </c:pt>
                <c:pt idx="115">
                  <c:v>4.6000000000000032</c:v>
                </c:pt>
                <c:pt idx="116">
                  <c:v>4.6400000000000032</c:v>
                </c:pt>
                <c:pt idx="117">
                  <c:v>4.6800000000000033</c:v>
                </c:pt>
                <c:pt idx="118">
                  <c:v>4.7200000000000033</c:v>
                </c:pt>
                <c:pt idx="119">
                  <c:v>4.7600000000000033</c:v>
                </c:pt>
                <c:pt idx="120">
                  <c:v>4.8000000000000034</c:v>
                </c:pt>
                <c:pt idx="121">
                  <c:v>4.8400000000000034</c:v>
                </c:pt>
                <c:pt idx="122">
                  <c:v>4.8800000000000034</c:v>
                </c:pt>
                <c:pt idx="123">
                  <c:v>4.9200000000000035</c:v>
                </c:pt>
                <c:pt idx="124">
                  <c:v>4.9600000000000035</c:v>
                </c:pt>
                <c:pt idx="125">
                  <c:v>5</c:v>
                </c:pt>
              </c:numCache>
            </c:numRef>
          </c:xVal>
          <c:yVal>
            <c:numRef>
              <c:f>Sheet1!$G$5:$G$130</c:f>
              <c:numCache>
                <c:formatCode>0.00</c:formatCode>
                <c:ptCount val="126"/>
                <c:pt idx="0">
                  <c:v>-97.556220007628482</c:v>
                </c:pt>
                <c:pt idx="1">
                  <c:v>-97.969009539314172</c:v>
                </c:pt>
                <c:pt idx="2">
                  <c:v>-98.256573907169681</c:v>
                </c:pt>
                <c:pt idx="3">
                  <c:v>-98.437079713020353</c:v>
                </c:pt>
                <c:pt idx="4">
                  <c:v>-98.530538596990013</c:v>
                </c:pt>
                <c:pt idx="5">
                  <c:v>-98.55845361616548</c:v>
                </c:pt>
                <c:pt idx="6">
                  <c:v>-98.543006890590206</c:v>
                </c:pt>
                <c:pt idx="7">
                  <c:v>-98.505811467690492</c:v>
                </c:pt>
                <c:pt idx="8">
                  <c:v>-98.4662779356009</c:v>
                </c:pt>
                <c:pt idx="9">
                  <c:v>-98.43974027024943</c:v>
                </c:pt>
                <c:pt idx="10">
                  <c:v>-98.435613415765204</c:v>
                </c:pt>
                <c:pt idx="11">
                  <c:v>-98.456051336409686</c:v>
                </c:pt>
                <c:pt idx="12">
                  <c:v>-98.49556964719865</c:v>
                </c:pt>
                <c:pt idx="13">
                  <c:v>-98.541928914959556</c:v>
                </c:pt>
                <c:pt idx="14">
                  <c:v>-98.578139994817491</c:v>
                </c:pt>
                <c:pt idx="15">
                  <c:v>-98.585111614873767</c:v>
                </c:pt>
                <c:pt idx="16">
                  <c:v>-98.544328856142698</c:v>
                </c:pt>
                <c:pt idx="17">
                  <c:v>-98.440089607900177</c:v>
                </c:pt>
                <c:pt idx="18">
                  <c:v>-98.261114418356556</c:v>
                </c:pt>
                <c:pt idx="19">
                  <c:v>-98.001511981340343</c:v>
                </c:pt>
                <c:pt idx="20">
                  <c:v>-97.661174586831947</c:v>
                </c:pt>
                <c:pt idx="21">
                  <c:v>-97.245614899648174</c:v>
                </c:pt>
                <c:pt idx="22">
                  <c:v>-96.765152908180795</c:v>
                </c:pt>
                <c:pt idx="23">
                  <c:v>-96.233216252784999</c:v>
                </c:pt>
                <c:pt idx="24">
                  <c:v>-95.663348862642778</c:v>
                </c:pt>
                <c:pt idx="25">
                  <c:v>-95.064331112538653</c:v>
                </c:pt>
                <c:pt idx="26">
                  <c:v>-94.432624074282188</c:v>
                </c:pt>
                <c:pt idx="27">
                  <c:v>-93.741260088445728</c:v>
                </c:pt>
                <c:pt idx="28">
                  <c:v>-92.924587039028495</c:v>
                </c:pt>
                <c:pt idx="29">
                  <c:v>-91.859562956480673</c:v>
                </c:pt>
                <c:pt idx="30">
                  <c:v>-90.347814300809247</c:v>
                </c:pt>
                <c:pt idx="31">
                  <c:v>-88.110350223530233</c:v>
                </c:pt>
                <c:pt idx="32">
                  <c:v>-84.821114838929262</c:v>
                </c:pt>
                <c:pt idx="33">
                  <c:v>-80.230015560273728</c:v>
                </c:pt>
                <c:pt idx="34">
                  <c:v>-74.475484110962455</c:v>
                </c:pt>
                <c:pt idx="35">
                  <c:v>-68.765974396496347</c:v>
                </c:pt>
                <c:pt idx="36">
                  <c:v>-65.966313398953233</c:v>
                </c:pt>
                <c:pt idx="37">
                  <c:v>-67.882662827470142</c:v>
                </c:pt>
                <c:pt idx="38">
                  <c:v>-72.326783388086881</c:v>
                </c:pt>
                <c:pt idx="39">
                  <c:v>-76.989612330642075</c:v>
                </c:pt>
                <c:pt idx="40">
                  <c:v>-81.088753468870706</c:v>
                </c:pt>
                <c:pt idx="41">
                  <c:v>-84.500935076717298</c:v>
                </c:pt>
                <c:pt idx="42">
                  <c:v>-87.293838580566231</c:v>
                </c:pt>
                <c:pt idx="43">
                  <c:v>-89.579077912393942</c:v>
                </c:pt>
                <c:pt idx="44">
                  <c:v>-91.461600403111532</c:v>
                </c:pt>
                <c:pt idx="45">
                  <c:v>-93.02379783034489</c:v>
                </c:pt>
                <c:pt idx="46">
                  <c:v>-94.324566588015301</c:v>
                </c:pt>
                <c:pt idx="47">
                  <c:v>-95.404090353569899</c:v>
                </c:pt>
                <c:pt idx="48">
                  <c:v>-96.289815179819769</c:v>
                </c:pt>
                <c:pt idx="49">
                  <c:v>-97.001706254281387</c:v>
                </c:pt>
                <c:pt idx="50">
                  <c:v>-97.556220007628497</c:v>
                </c:pt>
                <c:pt idx="51">
                  <c:v>-97.9690095393142</c:v>
                </c:pt>
                <c:pt idx="52">
                  <c:v>-98.256573907169738</c:v>
                </c:pt>
                <c:pt idx="53">
                  <c:v>-98.437079713020395</c:v>
                </c:pt>
                <c:pt idx="54">
                  <c:v>-98.530538596989985</c:v>
                </c:pt>
                <c:pt idx="55">
                  <c:v>-98.558453616165494</c:v>
                </c:pt>
                <c:pt idx="56">
                  <c:v>-98.54300689059022</c:v>
                </c:pt>
                <c:pt idx="57">
                  <c:v>-98.505811467690577</c:v>
                </c:pt>
                <c:pt idx="58">
                  <c:v>-98.466277935601028</c:v>
                </c:pt>
                <c:pt idx="59">
                  <c:v>-98.439740270249359</c:v>
                </c:pt>
                <c:pt idx="60">
                  <c:v>-98.43561341576526</c:v>
                </c:pt>
                <c:pt idx="61">
                  <c:v>-98.456051336409672</c:v>
                </c:pt>
                <c:pt idx="62">
                  <c:v>-98.495569647198693</c:v>
                </c:pt>
                <c:pt idx="63">
                  <c:v>-98.54192891495957</c:v>
                </c:pt>
                <c:pt idx="64">
                  <c:v>-98.578139994817519</c:v>
                </c:pt>
                <c:pt idx="65">
                  <c:v>-98.585111614873739</c:v>
                </c:pt>
                <c:pt idx="66">
                  <c:v>-98.544328856142656</c:v>
                </c:pt>
                <c:pt idx="67">
                  <c:v>-98.440089607900262</c:v>
                </c:pt>
                <c:pt idx="68">
                  <c:v>-98.26111441835657</c:v>
                </c:pt>
                <c:pt idx="69">
                  <c:v>-98.001511981340414</c:v>
                </c:pt>
                <c:pt idx="70">
                  <c:v>-97.661174586831933</c:v>
                </c:pt>
                <c:pt idx="71">
                  <c:v>-97.245614899648217</c:v>
                </c:pt>
                <c:pt idx="72">
                  <c:v>-96.765152908180823</c:v>
                </c:pt>
                <c:pt idx="73">
                  <c:v>-96.233216252821165</c:v>
                </c:pt>
                <c:pt idx="74">
                  <c:v>-95.663348862642763</c:v>
                </c:pt>
                <c:pt idx="75">
                  <c:v>-95.064331112538042</c:v>
                </c:pt>
                <c:pt idx="76">
                  <c:v>-94.432624074282245</c:v>
                </c:pt>
                <c:pt idx="77">
                  <c:v>-93.741260088445728</c:v>
                </c:pt>
                <c:pt idx="78">
                  <c:v>-92.924587039028552</c:v>
                </c:pt>
                <c:pt idx="79">
                  <c:v>-91.859562956480673</c:v>
                </c:pt>
                <c:pt idx="80">
                  <c:v>-90.34781430080929</c:v>
                </c:pt>
                <c:pt idx="81">
                  <c:v>-88.110350223530162</c:v>
                </c:pt>
                <c:pt idx="82">
                  <c:v>-84.821114838929148</c:v>
                </c:pt>
                <c:pt idx="83">
                  <c:v>-80.230015560273671</c:v>
                </c:pt>
                <c:pt idx="84">
                  <c:v>-74.47548411096264</c:v>
                </c:pt>
                <c:pt idx="85">
                  <c:v>-68.765974396496318</c:v>
                </c:pt>
                <c:pt idx="86">
                  <c:v>-65.966313398953673</c:v>
                </c:pt>
                <c:pt idx="87">
                  <c:v>-67.882662827470298</c:v>
                </c:pt>
                <c:pt idx="88">
                  <c:v>-72.326783388086824</c:v>
                </c:pt>
                <c:pt idx="89">
                  <c:v>-76.989612330641776</c:v>
                </c:pt>
                <c:pt idx="90">
                  <c:v>-81.088753468870749</c:v>
                </c:pt>
                <c:pt idx="91">
                  <c:v>-84.500935076717326</c:v>
                </c:pt>
                <c:pt idx="92">
                  <c:v>-87.293838580566131</c:v>
                </c:pt>
                <c:pt idx="93">
                  <c:v>-89.579077912393956</c:v>
                </c:pt>
                <c:pt idx="94">
                  <c:v>-91.461600403111603</c:v>
                </c:pt>
                <c:pt idx="95">
                  <c:v>-93.023797830344861</c:v>
                </c:pt>
                <c:pt idx="96">
                  <c:v>-94.324566588015273</c:v>
                </c:pt>
                <c:pt idx="97">
                  <c:v>-95.404090353569885</c:v>
                </c:pt>
                <c:pt idx="98">
                  <c:v>-96.289815179819385</c:v>
                </c:pt>
                <c:pt idx="99">
                  <c:v>-97.001706254279952</c:v>
                </c:pt>
                <c:pt idx="100">
                  <c:v>-97.556220007628511</c:v>
                </c:pt>
                <c:pt idx="101">
                  <c:v>-97.9690095393142</c:v>
                </c:pt>
                <c:pt idx="102">
                  <c:v>-98.256573907169653</c:v>
                </c:pt>
                <c:pt idx="103">
                  <c:v>-98.437079713020424</c:v>
                </c:pt>
                <c:pt idx="104">
                  <c:v>-98.530538596989913</c:v>
                </c:pt>
                <c:pt idx="105">
                  <c:v>-98.558453616165551</c:v>
                </c:pt>
                <c:pt idx="106">
                  <c:v>-98.543006890590192</c:v>
                </c:pt>
                <c:pt idx="107">
                  <c:v>-98.50581146769062</c:v>
                </c:pt>
                <c:pt idx="108">
                  <c:v>-98.466277935600971</c:v>
                </c:pt>
                <c:pt idx="109">
                  <c:v>-98.439740270249374</c:v>
                </c:pt>
                <c:pt idx="110">
                  <c:v>-98.435613415765204</c:v>
                </c:pt>
                <c:pt idx="111">
                  <c:v>-98.456051336409672</c:v>
                </c:pt>
                <c:pt idx="112">
                  <c:v>-98.495569647198664</c:v>
                </c:pt>
                <c:pt idx="113">
                  <c:v>-98.541928914959556</c:v>
                </c:pt>
                <c:pt idx="114">
                  <c:v>-98.578139994817477</c:v>
                </c:pt>
                <c:pt idx="115">
                  <c:v>-98.585111614873739</c:v>
                </c:pt>
                <c:pt idx="116">
                  <c:v>-98.544328856142698</c:v>
                </c:pt>
                <c:pt idx="117">
                  <c:v>-98.440089607900177</c:v>
                </c:pt>
                <c:pt idx="118">
                  <c:v>-98.261114418356499</c:v>
                </c:pt>
                <c:pt idx="119">
                  <c:v>-98.001511981340627</c:v>
                </c:pt>
                <c:pt idx="120">
                  <c:v>-97.661174586834036</c:v>
                </c:pt>
                <c:pt idx="121">
                  <c:v>-97.245614899648146</c:v>
                </c:pt>
                <c:pt idx="122">
                  <c:v>-96.765152908378042</c:v>
                </c:pt>
                <c:pt idx="123">
                  <c:v>-96.233216252821123</c:v>
                </c:pt>
                <c:pt idx="124">
                  <c:v>-95.663348862642735</c:v>
                </c:pt>
                <c:pt idx="125">
                  <c:v>-95.064331112538042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77-4806-885C-E2D64708D28C}"/>
            </c:ext>
          </c:extLst>
        </c:ser>
        <c:ser>
          <c:idx val="1"/>
          <c:order val="1"/>
          <c:tx>
            <c:strRef>
              <c:f>Sheet1!$H$2</c:f>
              <c:strCache>
                <c:ptCount val="1"/>
                <c:pt idx="0">
                  <c:v>Leg 2_Z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Sheet1!$B$5:$B$130</c:f>
              <c:numCache>
                <c:formatCode>0.00</c:formatCode>
                <c:ptCount val="126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0.24000000000000002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0.39999999999999997</c:v>
                </c:pt>
                <c:pt idx="11">
                  <c:v>0.43999999999999995</c:v>
                </c:pt>
                <c:pt idx="12">
                  <c:v>0.47999999999999993</c:v>
                </c:pt>
                <c:pt idx="13">
                  <c:v>0.51999999999999991</c:v>
                </c:pt>
                <c:pt idx="14">
                  <c:v>0.55999999999999994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0.72000000000000008</c:v>
                </c:pt>
                <c:pt idx="19">
                  <c:v>0.76000000000000012</c:v>
                </c:pt>
                <c:pt idx="20">
                  <c:v>0.80000000000000016</c:v>
                </c:pt>
                <c:pt idx="21">
                  <c:v>0.84000000000000019</c:v>
                </c:pt>
                <c:pt idx="22">
                  <c:v>0.88000000000000023</c:v>
                </c:pt>
                <c:pt idx="23">
                  <c:v>0.92000000000000026</c:v>
                </c:pt>
                <c:pt idx="24">
                  <c:v>0.9600000000000003</c:v>
                </c:pt>
                <c:pt idx="25">
                  <c:v>1.0000000000000002</c:v>
                </c:pt>
                <c:pt idx="26">
                  <c:v>1.0400000000000003</c:v>
                </c:pt>
                <c:pt idx="27">
                  <c:v>1.0800000000000003</c:v>
                </c:pt>
                <c:pt idx="28">
                  <c:v>1.1200000000000003</c:v>
                </c:pt>
                <c:pt idx="29">
                  <c:v>1.1600000000000004</c:v>
                </c:pt>
                <c:pt idx="30">
                  <c:v>1.2000000000000004</c:v>
                </c:pt>
                <c:pt idx="31">
                  <c:v>1.2400000000000004</c:v>
                </c:pt>
                <c:pt idx="32">
                  <c:v>1.2800000000000005</c:v>
                </c:pt>
                <c:pt idx="33">
                  <c:v>1.3200000000000005</c:v>
                </c:pt>
                <c:pt idx="34">
                  <c:v>1.3600000000000005</c:v>
                </c:pt>
                <c:pt idx="35">
                  <c:v>1.4000000000000006</c:v>
                </c:pt>
                <c:pt idx="36">
                  <c:v>1.4400000000000006</c:v>
                </c:pt>
                <c:pt idx="37">
                  <c:v>1.4800000000000006</c:v>
                </c:pt>
                <c:pt idx="38">
                  <c:v>1.5200000000000007</c:v>
                </c:pt>
                <c:pt idx="39">
                  <c:v>1.5600000000000007</c:v>
                </c:pt>
                <c:pt idx="40">
                  <c:v>1.6000000000000008</c:v>
                </c:pt>
                <c:pt idx="41">
                  <c:v>1.6400000000000008</c:v>
                </c:pt>
                <c:pt idx="42">
                  <c:v>1.6800000000000008</c:v>
                </c:pt>
                <c:pt idx="43">
                  <c:v>1.7200000000000009</c:v>
                </c:pt>
                <c:pt idx="44">
                  <c:v>1.7600000000000009</c:v>
                </c:pt>
                <c:pt idx="45">
                  <c:v>1.8000000000000009</c:v>
                </c:pt>
                <c:pt idx="46">
                  <c:v>1.840000000000001</c:v>
                </c:pt>
                <c:pt idx="47">
                  <c:v>1.880000000000001</c:v>
                </c:pt>
                <c:pt idx="48">
                  <c:v>1.920000000000001</c:v>
                </c:pt>
                <c:pt idx="49">
                  <c:v>1.9600000000000011</c:v>
                </c:pt>
                <c:pt idx="50">
                  <c:v>2.0000000000000009</c:v>
                </c:pt>
                <c:pt idx="51">
                  <c:v>2.0400000000000009</c:v>
                </c:pt>
                <c:pt idx="52">
                  <c:v>2.080000000000001</c:v>
                </c:pt>
                <c:pt idx="53">
                  <c:v>2.120000000000001</c:v>
                </c:pt>
                <c:pt idx="54">
                  <c:v>2.160000000000001</c:v>
                </c:pt>
                <c:pt idx="55">
                  <c:v>2.2000000000000011</c:v>
                </c:pt>
                <c:pt idx="56">
                  <c:v>2.2400000000000011</c:v>
                </c:pt>
                <c:pt idx="57">
                  <c:v>2.2800000000000011</c:v>
                </c:pt>
                <c:pt idx="58">
                  <c:v>2.3200000000000012</c:v>
                </c:pt>
                <c:pt idx="59">
                  <c:v>2.3600000000000012</c:v>
                </c:pt>
                <c:pt idx="60">
                  <c:v>2.4000000000000012</c:v>
                </c:pt>
                <c:pt idx="61">
                  <c:v>2.4400000000000013</c:v>
                </c:pt>
                <c:pt idx="62">
                  <c:v>2.4800000000000013</c:v>
                </c:pt>
                <c:pt idx="63">
                  <c:v>2.5200000000000014</c:v>
                </c:pt>
                <c:pt idx="64">
                  <c:v>2.5600000000000014</c:v>
                </c:pt>
                <c:pt idx="65">
                  <c:v>2.6000000000000014</c:v>
                </c:pt>
                <c:pt idx="66">
                  <c:v>2.6400000000000015</c:v>
                </c:pt>
                <c:pt idx="67">
                  <c:v>2.6800000000000015</c:v>
                </c:pt>
                <c:pt idx="68">
                  <c:v>2.7200000000000015</c:v>
                </c:pt>
                <c:pt idx="69">
                  <c:v>2.7600000000000016</c:v>
                </c:pt>
                <c:pt idx="70">
                  <c:v>2.8000000000000016</c:v>
                </c:pt>
                <c:pt idx="71">
                  <c:v>2.8400000000000016</c:v>
                </c:pt>
                <c:pt idx="72">
                  <c:v>2.8800000000000017</c:v>
                </c:pt>
                <c:pt idx="73">
                  <c:v>2.9200000000000017</c:v>
                </c:pt>
                <c:pt idx="74">
                  <c:v>2.9600000000000017</c:v>
                </c:pt>
                <c:pt idx="75">
                  <c:v>3.0000000000000018</c:v>
                </c:pt>
                <c:pt idx="76">
                  <c:v>3.0400000000000018</c:v>
                </c:pt>
                <c:pt idx="77">
                  <c:v>3.0800000000000018</c:v>
                </c:pt>
                <c:pt idx="78">
                  <c:v>3.1200000000000019</c:v>
                </c:pt>
                <c:pt idx="79">
                  <c:v>3.1600000000000019</c:v>
                </c:pt>
                <c:pt idx="80">
                  <c:v>3.200000000000002</c:v>
                </c:pt>
                <c:pt idx="81">
                  <c:v>3.240000000000002</c:v>
                </c:pt>
                <c:pt idx="82">
                  <c:v>3.280000000000002</c:v>
                </c:pt>
                <c:pt idx="83">
                  <c:v>3.3200000000000021</c:v>
                </c:pt>
                <c:pt idx="84">
                  <c:v>3.3600000000000021</c:v>
                </c:pt>
                <c:pt idx="85">
                  <c:v>3.4000000000000021</c:v>
                </c:pt>
                <c:pt idx="86">
                  <c:v>3.4400000000000022</c:v>
                </c:pt>
                <c:pt idx="87">
                  <c:v>3.4800000000000022</c:v>
                </c:pt>
                <c:pt idx="88">
                  <c:v>3.5200000000000022</c:v>
                </c:pt>
                <c:pt idx="89">
                  <c:v>3.5600000000000023</c:v>
                </c:pt>
                <c:pt idx="90">
                  <c:v>3.6000000000000023</c:v>
                </c:pt>
                <c:pt idx="91">
                  <c:v>3.6400000000000023</c:v>
                </c:pt>
                <c:pt idx="92">
                  <c:v>3.6800000000000024</c:v>
                </c:pt>
                <c:pt idx="93">
                  <c:v>3.7200000000000024</c:v>
                </c:pt>
                <c:pt idx="94">
                  <c:v>3.7600000000000025</c:v>
                </c:pt>
                <c:pt idx="95">
                  <c:v>3.8000000000000025</c:v>
                </c:pt>
                <c:pt idx="96">
                  <c:v>3.8400000000000025</c:v>
                </c:pt>
                <c:pt idx="97">
                  <c:v>3.8800000000000026</c:v>
                </c:pt>
                <c:pt idx="98">
                  <c:v>3.9200000000000026</c:v>
                </c:pt>
                <c:pt idx="99">
                  <c:v>3.9600000000000026</c:v>
                </c:pt>
                <c:pt idx="100">
                  <c:v>4.0000000000000027</c:v>
                </c:pt>
                <c:pt idx="101">
                  <c:v>4.0400000000000027</c:v>
                </c:pt>
                <c:pt idx="102">
                  <c:v>4.0800000000000027</c:v>
                </c:pt>
                <c:pt idx="103">
                  <c:v>4.1200000000000028</c:v>
                </c:pt>
                <c:pt idx="104">
                  <c:v>4.1600000000000028</c:v>
                </c:pt>
                <c:pt idx="105">
                  <c:v>4.2000000000000028</c:v>
                </c:pt>
                <c:pt idx="106">
                  <c:v>4.2400000000000029</c:v>
                </c:pt>
                <c:pt idx="107">
                  <c:v>4.2800000000000029</c:v>
                </c:pt>
                <c:pt idx="108">
                  <c:v>4.3200000000000029</c:v>
                </c:pt>
                <c:pt idx="109">
                  <c:v>4.360000000000003</c:v>
                </c:pt>
                <c:pt idx="110">
                  <c:v>4.400000000000003</c:v>
                </c:pt>
                <c:pt idx="111">
                  <c:v>4.4400000000000031</c:v>
                </c:pt>
                <c:pt idx="112">
                  <c:v>4.4800000000000031</c:v>
                </c:pt>
                <c:pt idx="113">
                  <c:v>4.5200000000000031</c:v>
                </c:pt>
                <c:pt idx="114">
                  <c:v>4.5600000000000032</c:v>
                </c:pt>
                <c:pt idx="115">
                  <c:v>4.6000000000000032</c:v>
                </c:pt>
                <c:pt idx="116">
                  <c:v>4.6400000000000032</c:v>
                </c:pt>
                <c:pt idx="117">
                  <c:v>4.6800000000000033</c:v>
                </c:pt>
                <c:pt idx="118">
                  <c:v>4.7200000000000033</c:v>
                </c:pt>
                <c:pt idx="119">
                  <c:v>4.7600000000000033</c:v>
                </c:pt>
                <c:pt idx="120">
                  <c:v>4.8000000000000034</c:v>
                </c:pt>
                <c:pt idx="121">
                  <c:v>4.8400000000000034</c:v>
                </c:pt>
                <c:pt idx="122">
                  <c:v>4.8800000000000034</c:v>
                </c:pt>
                <c:pt idx="123">
                  <c:v>4.9200000000000035</c:v>
                </c:pt>
                <c:pt idx="124">
                  <c:v>4.9600000000000035</c:v>
                </c:pt>
                <c:pt idx="125">
                  <c:v>5</c:v>
                </c:pt>
              </c:numCache>
            </c:numRef>
          </c:xVal>
          <c:yVal>
            <c:numRef>
              <c:f>Sheet1!$H$5:$H$130</c:f>
              <c:numCache>
                <c:formatCode>0.00</c:formatCode>
                <c:ptCount val="126"/>
                <c:pt idx="0">
                  <c:v>-90.96739416395647</c:v>
                </c:pt>
                <c:pt idx="1">
                  <c:v>-88.980960043242078</c:v>
                </c:pt>
                <c:pt idx="2">
                  <c:v>-86.564260023483854</c:v>
                </c:pt>
                <c:pt idx="3">
                  <c:v>-83.607876498487812</c:v>
                </c:pt>
                <c:pt idx="4">
                  <c:v>-80.005099598964506</c:v>
                </c:pt>
                <c:pt idx="5">
                  <c:v>-75.719704905401812</c:v>
                </c:pt>
                <c:pt idx="6">
                  <c:v>-70.98916201843555</c:v>
                </c:pt>
                <c:pt idx="7">
                  <c:v>-66.948797435237807</c:v>
                </c:pt>
                <c:pt idx="8">
                  <c:v>-66.276513437250344</c:v>
                </c:pt>
                <c:pt idx="9">
                  <c:v>-70.227256566085288</c:v>
                </c:pt>
                <c:pt idx="10">
                  <c:v>-76.172008294464632</c:v>
                </c:pt>
                <c:pt idx="11">
                  <c:v>-81.657662726349088</c:v>
                </c:pt>
                <c:pt idx="12">
                  <c:v>-85.87096563364932</c:v>
                </c:pt>
                <c:pt idx="13">
                  <c:v>-88.832043937343727</c:v>
                </c:pt>
                <c:pt idx="14">
                  <c:v>-90.833117458634874</c:v>
                </c:pt>
                <c:pt idx="15">
                  <c:v>-92.194290779234095</c:v>
                </c:pt>
                <c:pt idx="16">
                  <c:v>-93.172906833864118</c:v>
                </c:pt>
                <c:pt idx="17">
                  <c:v>-93.944726395209614</c:v>
                </c:pt>
                <c:pt idx="18">
                  <c:v>-94.614662749980795</c:v>
                </c:pt>
                <c:pt idx="19">
                  <c:v>-95.235704288105126</c:v>
                </c:pt>
                <c:pt idx="20">
                  <c:v>-95.826866905405453</c:v>
                </c:pt>
                <c:pt idx="21">
                  <c:v>-96.387269253458328</c:v>
                </c:pt>
                <c:pt idx="22">
                  <c:v>-96.90615854893295</c:v>
                </c:pt>
                <c:pt idx="23">
                  <c:v>-97.369624883966523</c:v>
                </c:pt>
                <c:pt idx="24">
                  <c:v>-97.764877746379568</c:v>
                </c:pt>
                <c:pt idx="25">
                  <c:v>-98.082822230964737</c:v>
                </c:pt>
                <c:pt idx="26">
                  <c:v>-98.319476033690933</c:v>
                </c:pt>
                <c:pt idx="27">
                  <c:v>-98.476582342464539</c:v>
                </c:pt>
                <c:pt idx="28">
                  <c:v>-98.561612178538581</c:v>
                </c:pt>
                <c:pt idx="29">
                  <c:v>-98.587213959170526</c:v>
                </c:pt>
                <c:pt idx="30">
                  <c:v>-98.570071941045015</c:v>
                </c:pt>
                <c:pt idx="31">
                  <c:v>-98.529114811330004</c:v>
                </c:pt>
                <c:pt idx="32">
                  <c:v>-98.483121639921947</c:v>
                </c:pt>
                <c:pt idx="33">
                  <c:v>-98.447997045289554</c:v>
                </c:pt>
                <c:pt idx="34">
                  <c:v>-98.434241300781238</c:v>
                </c:pt>
                <c:pt idx="35">
                  <c:v>-98.445221565329945</c:v>
                </c:pt>
                <c:pt idx="36">
                  <c:v>-98.476654299226254</c:v>
                </c:pt>
                <c:pt idx="37">
                  <c:v>-98.517292073018439</c:v>
                </c:pt>
                <c:pt idx="38">
                  <c:v>-98.550459588077146</c:v>
                </c:pt>
                <c:pt idx="39">
                  <c:v>-98.555942438184232</c:v>
                </c:pt>
                <c:pt idx="40">
                  <c:v>-98.511818194314429</c:v>
                </c:pt>
                <c:pt idx="41">
                  <c:v>-98.395987720872128</c:v>
                </c:pt>
                <c:pt idx="42">
                  <c:v>-98.187304627695966</c:v>
                </c:pt>
                <c:pt idx="43">
                  <c:v>-97.866261997797238</c:v>
                </c:pt>
                <c:pt idx="44">
                  <c:v>-97.415205434730154</c:v>
                </c:pt>
                <c:pt idx="45">
                  <c:v>-96.817988843619105</c:v>
                </c:pt>
                <c:pt idx="46">
                  <c:v>-96.058940972756659</c:v>
                </c:pt>
                <c:pt idx="47">
                  <c:v>-95.120943122950194</c:v>
                </c:pt>
                <c:pt idx="48">
                  <c:v>-93.982384849442099</c:v>
                </c:pt>
                <c:pt idx="49">
                  <c:v>-92.612816732327133</c:v>
                </c:pt>
                <c:pt idx="50">
                  <c:v>-90.967394163956527</c:v>
                </c:pt>
                <c:pt idx="51">
                  <c:v>-88.980960043242177</c:v>
                </c:pt>
                <c:pt idx="52">
                  <c:v>-86.564260023483911</c:v>
                </c:pt>
                <c:pt idx="53">
                  <c:v>-83.607876498487983</c:v>
                </c:pt>
                <c:pt idx="54">
                  <c:v>-80.005099598964534</c:v>
                </c:pt>
                <c:pt idx="55">
                  <c:v>-75.719704905401997</c:v>
                </c:pt>
                <c:pt idx="56">
                  <c:v>-70.989162018435167</c:v>
                </c:pt>
                <c:pt idx="57">
                  <c:v>-66.948797435238063</c:v>
                </c:pt>
                <c:pt idx="58">
                  <c:v>-66.276513437249989</c:v>
                </c:pt>
                <c:pt idx="59">
                  <c:v>-70.227256566085458</c:v>
                </c:pt>
                <c:pt idx="60">
                  <c:v>-76.172008294464391</c:v>
                </c:pt>
                <c:pt idx="61">
                  <c:v>-81.657662726349002</c:v>
                </c:pt>
                <c:pt idx="62">
                  <c:v>-85.870965633649035</c:v>
                </c:pt>
                <c:pt idx="63">
                  <c:v>-88.832043937343784</c:v>
                </c:pt>
                <c:pt idx="64">
                  <c:v>-90.83311745863486</c:v>
                </c:pt>
                <c:pt idx="65">
                  <c:v>-92.194290779233896</c:v>
                </c:pt>
                <c:pt idx="66">
                  <c:v>-93.172906833864076</c:v>
                </c:pt>
                <c:pt idx="67">
                  <c:v>-93.944726395209699</c:v>
                </c:pt>
                <c:pt idx="68">
                  <c:v>-94.614662749980837</c:v>
                </c:pt>
                <c:pt idx="69">
                  <c:v>-95.235704288105197</c:v>
                </c:pt>
                <c:pt idx="70">
                  <c:v>-95.826866905405396</c:v>
                </c:pt>
                <c:pt idx="71">
                  <c:v>-96.387269253458271</c:v>
                </c:pt>
                <c:pt idx="72">
                  <c:v>-96.906158548932979</c:v>
                </c:pt>
                <c:pt idx="73">
                  <c:v>-97.369624884007607</c:v>
                </c:pt>
                <c:pt idx="74">
                  <c:v>-97.764877746379554</c:v>
                </c:pt>
                <c:pt idx="75">
                  <c:v>-98.082822230964908</c:v>
                </c:pt>
                <c:pt idx="76">
                  <c:v>-98.319476033690904</c:v>
                </c:pt>
                <c:pt idx="77">
                  <c:v>-98.476582342464539</c:v>
                </c:pt>
                <c:pt idx="78">
                  <c:v>-98.561612178538567</c:v>
                </c:pt>
                <c:pt idx="79">
                  <c:v>-98.587213959170555</c:v>
                </c:pt>
                <c:pt idx="80">
                  <c:v>-98.570071941045057</c:v>
                </c:pt>
                <c:pt idx="81">
                  <c:v>-98.529114811329947</c:v>
                </c:pt>
                <c:pt idx="82">
                  <c:v>-98.483121639921919</c:v>
                </c:pt>
                <c:pt idx="83">
                  <c:v>-98.447997045289554</c:v>
                </c:pt>
                <c:pt idx="84">
                  <c:v>-98.434241300781181</c:v>
                </c:pt>
                <c:pt idx="85">
                  <c:v>-98.445221565329888</c:v>
                </c:pt>
                <c:pt idx="86">
                  <c:v>-98.476654299226254</c:v>
                </c:pt>
                <c:pt idx="87">
                  <c:v>-98.517292073018453</c:v>
                </c:pt>
                <c:pt idx="88">
                  <c:v>-98.550459588077146</c:v>
                </c:pt>
                <c:pt idx="89">
                  <c:v>-98.55594243818426</c:v>
                </c:pt>
                <c:pt idx="90">
                  <c:v>-98.511818194314387</c:v>
                </c:pt>
                <c:pt idx="91">
                  <c:v>-98.395987720872128</c:v>
                </c:pt>
                <c:pt idx="92">
                  <c:v>-98.187304627695923</c:v>
                </c:pt>
                <c:pt idx="93">
                  <c:v>-97.866261997797281</c:v>
                </c:pt>
                <c:pt idx="94">
                  <c:v>-97.415205434730197</c:v>
                </c:pt>
                <c:pt idx="95">
                  <c:v>-96.817988843619133</c:v>
                </c:pt>
                <c:pt idx="96">
                  <c:v>-96.058940972756659</c:v>
                </c:pt>
                <c:pt idx="97">
                  <c:v>-95.120943122950223</c:v>
                </c:pt>
                <c:pt idx="98">
                  <c:v>-93.982384849437139</c:v>
                </c:pt>
                <c:pt idx="99">
                  <c:v>-92.61281673232628</c:v>
                </c:pt>
                <c:pt idx="100">
                  <c:v>-90.967394163956527</c:v>
                </c:pt>
                <c:pt idx="101">
                  <c:v>-88.980960043242149</c:v>
                </c:pt>
                <c:pt idx="102">
                  <c:v>-86.564260023484053</c:v>
                </c:pt>
                <c:pt idx="103">
                  <c:v>-83.607876498488054</c:v>
                </c:pt>
                <c:pt idx="104">
                  <c:v>-80.00509959896462</c:v>
                </c:pt>
                <c:pt idx="105">
                  <c:v>-75.719704905401841</c:v>
                </c:pt>
                <c:pt idx="106">
                  <c:v>-70.989162018435508</c:v>
                </c:pt>
                <c:pt idx="107">
                  <c:v>-66.948797435237964</c:v>
                </c:pt>
                <c:pt idx="108">
                  <c:v>-66.276513437250301</c:v>
                </c:pt>
                <c:pt idx="109">
                  <c:v>-70.227256566085799</c:v>
                </c:pt>
                <c:pt idx="110">
                  <c:v>-76.172008294464689</c:v>
                </c:pt>
                <c:pt idx="111">
                  <c:v>-81.657662726349216</c:v>
                </c:pt>
                <c:pt idx="112">
                  <c:v>-85.870965633649291</c:v>
                </c:pt>
                <c:pt idx="113">
                  <c:v>-88.832043937343698</c:v>
                </c:pt>
                <c:pt idx="114">
                  <c:v>-90.833117458634817</c:v>
                </c:pt>
                <c:pt idx="115">
                  <c:v>-92.194290779234066</c:v>
                </c:pt>
                <c:pt idx="116">
                  <c:v>-93.172906833864133</c:v>
                </c:pt>
                <c:pt idx="117">
                  <c:v>-93.94472639520967</c:v>
                </c:pt>
                <c:pt idx="118">
                  <c:v>-94.614662749980837</c:v>
                </c:pt>
                <c:pt idx="119">
                  <c:v>-95.235704288105381</c:v>
                </c:pt>
                <c:pt idx="120">
                  <c:v>-95.826866905407826</c:v>
                </c:pt>
                <c:pt idx="121">
                  <c:v>-96.387269253458356</c:v>
                </c:pt>
                <c:pt idx="122">
                  <c:v>-96.906158549183516</c:v>
                </c:pt>
                <c:pt idx="123">
                  <c:v>-97.369624884007692</c:v>
                </c:pt>
                <c:pt idx="124">
                  <c:v>-97.764877746379597</c:v>
                </c:pt>
                <c:pt idx="125">
                  <c:v>-98.082822230964879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77-4806-885C-E2D64708D28C}"/>
            </c:ext>
          </c:extLst>
        </c:ser>
        <c:ser>
          <c:idx val="2"/>
          <c:order val="2"/>
          <c:tx>
            <c:strRef>
              <c:f>Sheet1!$I$2</c:f>
              <c:strCache>
                <c:ptCount val="1"/>
                <c:pt idx="0">
                  <c:v>Leg 3_Z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Sheet1!$B$5:$B$130</c:f>
              <c:numCache>
                <c:formatCode>0.00</c:formatCode>
                <c:ptCount val="126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0.24000000000000002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0.39999999999999997</c:v>
                </c:pt>
                <c:pt idx="11">
                  <c:v>0.43999999999999995</c:v>
                </c:pt>
                <c:pt idx="12">
                  <c:v>0.47999999999999993</c:v>
                </c:pt>
                <c:pt idx="13">
                  <c:v>0.51999999999999991</c:v>
                </c:pt>
                <c:pt idx="14">
                  <c:v>0.55999999999999994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0.72000000000000008</c:v>
                </c:pt>
                <c:pt idx="19">
                  <c:v>0.76000000000000012</c:v>
                </c:pt>
                <c:pt idx="20">
                  <c:v>0.80000000000000016</c:v>
                </c:pt>
                <c:pt idx="21">
                  <c:v>0.84000000000000019</c:v>
                </c:pt>
                <c:pt idx="22">
                  <c:v>0.88000000000000023</c:v>
                </c:pt>
                <c:pt idx="23">
                  <c:v>0.92000000000000026</c:v>
                </c:pt>
                <c:pt idx="24">
                  <c:v>0.9600000000000003</c:v>
                </c:pt>
                <c:pt idx="25">
                  <c:v>1.0000000000000002</c:v>
                </c:pt>
                <c:pt idx="26">
                  <c:v>1.0400000000000003</c:v>
                </c:pt>
                <c:pt idx="27">
                  <c:v>1.0800000000000003</c:v>
                </c:pt>
                <c:pt idx="28">
                  <c:v>1.1200000000000003</c:v>
                </c:pt>
                <c:pt idx="29">
                  <c:v>1.1600000000000004</c:v>
                </c:pt>
                <c:pt idx="30">
                  <c:v>1.2000000000000004</c:v>
                </c:pt>
                <c:pt idx="31">
                  <c:v>1.2400000000000004</c:v>
                </c:pt>
                <c:pt idx="32">
                  <c:v>1.2800000000000005</c:v>
                </c:pt>
                <c:pt idx="33">
                  <c:v>1.3200000000000005</c:v>
                </c:pt>
                <c:pt idx="34">
                  <c:v>1.3600000000000005</c:v>
                </c:pt>
                <c:pt idx="35">
                  <c:v>1.4000000000000006</c:v>
                </c:pt>
                <c:pt idx="36">
                  <c:v>1.4400000000000006</c:v>
                </c:pt>
                <c:pt idx="37">
                  <c:v>1.4800000000000006</c:v>
                </c:pt>
                <c:pt idx="38">
                  <c:v>1.5200000000000007</c:v>
                </c:pt>
                <c:pt idx="39">
                  <c:v>1.5600000000000007</c:v>
                </c:pt>
                <c:pt idx="40">
                  <c:v>1.6000000000000008</c:v>
                </c:pt>
                <c:pt idx="41">
                  <c:v>1.6400000000000008</c:v>
                </c:pt>
                <c:pt idx="42">
                  <c:v>1.6800000000000008</c:v>
                </c:pt>
                <c:pt idx="43">
                  <c:v>1.7200000000000009</c:v>
                </c:pt>
                <c:pt idx="44">
                  <c:v>1.7600000000000009</c:v>
                </c:pt>
                <c:pt idx="45">
                  <c:v>1.8000000000000009</c:v>
                </c:pt>
                <c:pt idx="46">
                  <c:v>1.840000000000001</c:v>
                </c:pt>
                <c:pt idx="47">
                  <c:v>1.880000000000001</c:v>
                </c:pt>
                <c:pt idx="48">
                  <c:v>1.920000000000001</c:v>
                </c:pt>
                <c:pt idx="49">
                  <c:v>1.9600000000000011</c:v>
                </c:pt>
                <c:pt idx="50">
                  <c:v>2.0000000000000009</c:v>
                </c:pt>
                <c:pt idx="51">
                  <c:v>2.0400000000000009</c:v>
                </c:pt>
                <c:pt idx="52">
                  <c:v>2.080000000000001</c:v>
                </c:pt>
                <c:pt idx="53">
                  <c:v>2.120000000000001</c:v>
                </c:pt>
                <c:pt idx="54">
                  <c:v>2.160000000000001</c:v>
                </c:pt>
                <c:pt idx="55">
                  <c:v>2.2000000000000011</c:v>
                </c:pt>
                <c:pt idx="56">
                  <c:v>2.2400000000000011</c:v>
                </c:pt>
                <c:pt idx="57">
                  <c:v>2.2800000000000011</c:v>
                </c:pt>
                <c:pt idx="58">
                  <c:v>2.3200000000000012</c:v>
                </c:pt>
                <c:pt idx="59">
                  <c:v>2.3600000000000012</c:v>
                </c:pt>
                <c:pt idx="60">
                  <c:v>2.4000000000000012</c:v>
                </c:pt>
                <c:pt idx="61">
                  <c:v>2.4400000000000013</c:v>
                </c:pt>
                <c:pt idx="62">
                  <c:v>2.4800000000000013</c:v>
                </c:pt>
                <c:pt idx="63">
                  <c:v>2.5200000000000014</c:v>
                </c:pt>
                <c:pt idx="64">
                  <c:v>2.5600000000000014</c:v>
                </c:pt>
                <c:pt idx="65">
                  <c:v>2.6000000000000014</c:v>
                </c:pt>
                <c:pt idx="66">
                  <c:v>2.6400000000000015</c:v>
                </c:pt>
                <c:pt idx="67">
                  <c:v>2.6800000000000015</c:v>
                </c:pt>
                <c:pt idx="68">
                  <c:v>2.7200000000000015</c:v>
                </c:pt>
                <c:pt idx="69">
                  <c:v>2.7600000000000016</c:v>
                </c:pt>
                <c:pt idx="70">
                  <c:v>2.8000000000000016</c:v>
                </c:pt>
                <c:pt idx="71">
                  <c:v>2.8400000000000016</c:v>
                </c:pt>
                <c:pt idx="72">
                  <c:v>2.8800000000000017</c:v>
                </c:pt>
                <c:pt idx="73">
                  <c:v>2.9200000000000017</c:v>
                </c:pt>
                <c:pt idx="74">
                  <c:v>2.9600000000000017</c:v>
                </c:pt>
                <c:pt idx="75">
                  <c:v>3.0000000000000018</c:v>
                </c:pt>
                <c:pt idx="76">
                  <c:v>3.0400000000000018</c:v>
                </c:pt>
                <c:pt idx="77">
                  <c:v>3.0800000000000018</c:v>
                </c:pt>
                <c:pt idx="78">
                  <c:v>3.1200000000000019</c:v>
                </c:pt>
                <c:pt idx="79">
                  <c:v>3.1600000000000019</c:v>
                </c:pt>
                <c:pt idx="80">
                  <c:v>3.200000000000002</c:v>
                </c:pt>
                <c:pt idx="81">
                  <c:v>3.240000000000002</c:v>
                </c:pt>
                <c:pt idx="82">
                  <c:v>3.280000000000002</c:v>
                </c:pt>
                <c:pt idx="83">
                  <c:v>3.3200000000000021</c:v>
                </c:pt>
                <c:pt idx="84">
                  <c:v>3.3600000000000021</c:v>
                </c:pt>
                <c:pt idx="85">
                  <c:v>3.4000000000000021</c:v>
                </c:pt>
                <c:pt idx="86">
                  <c:v>3.4400000000000022</c:v>
                </c:pt>
                <c:pt idx="87">
                  <c:v>3.4800000000000022</c:v>
                </c:pt>
                <c:pt idx="88">
                  <c:v>3.5200000000000022</c:v>
                </c:pt>
                <c:pt idx="89">
                  <c:v>3.5600000000000023</c:v>
                </c:pt>
                <c:pt idx="90">
                  <c:v>3.6000000000000023</c:v>
                </c:pt>
                <c:pt idx="91">
                  <c:v>3.6400000000000023</c:v>
                </c:pt>
                <c:pt idx="92">
                  <c:v>3.6800000000000024</c:v>
                </c:pt>
                <c:pt idx="93">
                  <c:v>3.7200000000000024</c:v>
                </c:pt>
                <c:pt idx="94">
                  <c:v>3.7600000000000025</c:v>
                </c:pt>
                <c:pt idx="95">
                  <c:v>3.8000000000000025</c:v>
                </c:pt>
                <c:pt idx="96">
                  <c:v>3.8400000000000025</c:v>
                </c:pt>
                <c:pt idx="97">
                  <c:v>3.8800000000000026</c:v>
                </c:pt>
                <c:pt idx="98">
                  <c:v>3.9200000000000026</c:v>
                </c:pt>
                <c:pt idx="99">
                  <c:v>3.9600000000000026</c:v>
                </c:pt>
                <c:pt idx="100">
                  <c:v>4.0000000000000027</c:v>
                </c:pt>
                <c:pt idx="101">
                  <c:v>4.0400000000000027</c:v>
                </c:pt>
                <c:pt idx="102">
                  <c:v>4.0800000000000027</c:v>
                </c:pt>
                <c:pt idx="103">
                  <c:v>4.1200000000000028</c:v>
                </c:pt>
                <c:pt idx="104">
                  <c:v>4.1600000000000028</c:v>
                </c:pt>
                <c:pt idx="105">
                  <c:v>4.2000000000000028</c:v>
                </c:pt>
                <c:pt idx="106">
                  <c:v>4.2400000000000029</c:v>
                </c:pt>
                <c:pt idx="107">
                  <c:v>4.2800000000000029</c:v>
                </c:pt>
                <c:pt idx="108">
                  <c:v>4.3200000000000029</c:v>
                </c:pt>
                <c:pt idx="109">
                  <c:v>4.360000000000003</c:v>
                </c:pt>
                <c:pt idx="110">
                  <c:v>4.400000000000003</c:v>
                </c:pt>
                <c:pt idx="111">
                  <c:v>4.4400000000000031</c:v>
                </c:pt>
                <c:pt idx="112">
                  <c:v>4.4800000000000031</c:v>
                </c:pt>
                <c:pt idx="113">
                  <c:v>4.5200000000000031</c:v>
                </c:pt>
                <c:pt idx="114">
                  <c:v>4.5600000000000032</c:v>
                </c:pt>
                <c:pt idx="115">
                  <c:v>4.6000000000000032</c:v>
                </c:pt>
                <c:pt idx="116">
                  <c:v>4.6400000000000032</c:v>
                </c:pt>
                <c:pt idx="117">
                  <c:v>4.6800000000000033</c:v>
                </c:pt>
                <c:pt idx="118">
                  <c:v>4.7200000000000033</c:v>
                </c:pt>
                <c:pt idx="119">
                  <c:v>4.7600000000000033</c:v>
                </c:pt>
                <c:pt idx="120">
                  <c:v>4.8000000000000034</c:v>
                </c:pt>
                <c:pt idx="121">
                  <c:v>4.8400000000000034</c:v>
                </c:pt>
                <c:pt idx="122">
                  <c:v>4.8800000000000034</c:v>
                </c:pt>
                <c:pt idx="123">
                  <c:v>4.9200000000000035</c:v>
                </c:pt>
                <c:pt idx="124">
                  <c:v>4.9600000000000035</c:v>
                </c:pt>
                <c:pt idx="125">
                  <c:v>5</c:v>
                </c:pt>
              </c:numCache>
            </c:numRef>
          </c:xVal>
          <c:yVal>
            <c:numRef>
              <c:f>Sheet1!$I$5:$I$130</c:f>
              <c:numCache>
                <c:formatCode>0.00</c:formatCode>
                <c:ptCount val="126"/>
                <c:pt idx="0">
                  <c:v>-95.064331112538312</c:v>
                </c:pt>
                <c:pt idx="1">
                  <c:v>-94.432624074281676</c:v>
                </c:pt>
                <c:pt idx="2">
                  <c:v>-93.741260088445159</c:v>
                </c:pt>
                <c:pt idx="3">
                  <c:v>-92.924586324148066</c:v>
                </c:pt>
                <c:pt idx="4">
                  <c:v>-91.859563202091763</c:v>
                </c:pt>
                <c:pt idx="5">
                  <c:v>-90.347814371567964</c:v>
                </c:pt>
                <c:pt idx="6">
                  <c:v>-88.110350148536369</c:v>
                </c:pt>
                <c:pt idx="7">
                  <c:v>-84.821115213086571</c:v>
                </c:pt>
                <c:pt idx="8">
                  <c:v>-80.230015688193831</c:v>
                </c:pt>
                <c:pt idx="9">
                  <c:v>-74.475484110960736</c:v>
                </c:pt>
                <c:pt idx="10">
                  <c:v>-68.765971475177324</c:v>
                </c:pt>
                <c:pt idx="11">
                  <c:v>-65.966313752518815</c:v>
                </c:pt>
                <c:pt idx="12">
                  <c:v>-67.882662827376265</c:v>
                </c:pt>
                <c:pt idx="13">
                  <c:v>-72.326783388088359</c:v>
                </c:pt>
                <c:pt idx="14">
                  <c:v>-76.989613952933212</c:v>
                </c:pt>
                <c:pt idx="15">
                  <c:v>-81.088753673760195</c:v>
                </c:pt>
                <c:pt idx="16">
                  <c:v>-84.500936275146429</c:v>
                </c:pt>
                <c:pt idx="17">
                  <c:v>-87.293838580567254</c:v>
                </c:pt>
                <c:pt idx="18">
                  <c:v>-89.57907791239505</c:v>
                </c:pt>
                <c:pt idx="19">
                  <c:v>-91.461600403112328</c:v>
                </c:pt>
                <c:pt idx="20">
                  <c:v>-93.023797830341181</c:v>
                </c:pt>
                <c:pt idx="21">
                  <c:v>-94.324566587999868</c:v>
                </c:pt>
                <c:pt idx="22">
                  <c:v>-95.404090353571021</c:v>
                </c:pt>
                <c:pt idx="23">
                  <c:v>-96.289815179749382</c:v>
                </c:pt>
                <c:pt idx="24">
                  <c:v>-97.001706254275874</c:v>
                </c:pt>
                <c:pt idx="25">
                  <c:v>-97.556220007629577</c:v>
                </c:pt>
                <c:pt idx="26">
                  <c:v>-97.969009539315721</c:v>
                </c:pt>
                <c:pt idx="27">
                  <c:v>-98.256573907171102</c:v>
                </c:pt>
                <c:pt idx="28">
                  <c:v>-98.437079985874448</c:v>
                </c:pt>
                <c:pt idx="29">
                  <c:v>-98.530538670818771</c:v>
                </c:pt>
                <c:pt idx="30">
                  <c:v>-98.5584539012915</c:v>
                </c:pt>
                <c:pt idx="31">
                  <c:v>-98.543007319602751</c:v>
                </c:pt>
                <c:pt idx="32">
                  <c:v>-98.505811340208339</c:v>
                </c:pt>
                <c:pt idx="33">
                  <c:v>-98.466277805576311</c:v>
                </c:pt>
                <c:pt idx="34">
                  <c:v>-98.439740270250923</c:v>
                </c:pt>
                <c:pt idx="35">
                  <c:v>-98.435613229671787</c:v>
                </c:pt>
                <c:pt idx="36">
                  <c:v>-98.456050854827467</c:v>
                </c:pt>
                <c:pt idx="37">
                  <c:v>-98.495569647199162</c:v>
                </c:pt>
                <c:pt idx="38">
                  <c:v>-98.541928914959968</c:v>
                </c:pt>
                <c:pt idx="39">
                  <c:v>-98.578139596733507</c:v>
                </c:pt>
                <c:pt idx="40">
                  <c:v>-98.58511146929149</c:v>
                </c:pt>
                <c:pt idx="41">
                  <c:v>-98.544328292162064</c:v>
                </c:pt>
                <c:pt idx="42">
                  <c:v>-98.440089607900092</c:v>
                </c:pt>
                <c:pt idx="43">
                  <c:v>-98.261114418356343</c:v>
                </c:pt>
                <c:pt idx="44">
                  <c:v>-98.001511981340443</c:v>
                </c:pt>
                <c:pt idx="45">
                  <c:v>-97.661174586834463</c:v>
                </c:pt>
                <c:pt idx="46">
                  <c:v>-97.245614899650178</c:v>
                </c:pt>
                <c:pt idx="47">
                  <c:v>-96.765152908180468</c:v>
                </c:pt>
                <c:pt idx="48">
                  <c:v>-96.233216252820796</c:v>
                </c:pt>
                <c:pt idx="49">
                  <c:v>-95.663348862646799</c:v>
                </c:pt>
                <c:pt idx="50">
                  <c:v>-95.064331112538284</c:v>
                </c:pt>
                <c:pt idx="51">
                  <c:v>-94.432624074281691</c:v>
                </c:pt>
                <c:pt idx="52">
                  <c:v>-93.741260088445202</c:v>
                </c:pt>
                <c:pt idx="53">
                  <c:v>-92.924586324148038</c:v>
                </c:pt>
                <c:pt idx="54">
                  <c:v>-91.859563202091749</c:v>
                </c:pt>
                <c:pt idx="55">
                  <c:v>-90.347814371568063</c:v>
                </c:pt>
                <c:pt idx="56">
                  <c:v>-88.110350148536469</c:v>
                </c:pt>
                <c:pt idx="57">
                  <c:v>-84.821115213086856</c:v>
                </c:pt>
                <c:pt idx="58">
                  <c:v>-80.230015688194428</c:v>
                </c:pt>
                <c:pt idx="59">
                  <c:v>-74.475484110960466</c:v>
                </c:pt>
                <c:pt idx="60">
                  <c:v>-68.765971475177537</c:v>
                </c:pt>
                <c:pt idx="61">
                  <c:v>-65.966313752519099</c:v>
                </c:pt>
                <c:pt idx="62">
                  <c:v>-67.882662827376919</c:v>
                </c:pt>
                <c:pt idx="63">
                  <c:v>-72.326783388088245</c:v>
                </c:pt>
                <c:pt idx="64">
                  <c:v>-76.989613952933212</c:v>
                </c:pt>
                <c:pt idx="65">
                  <c:v>-81.088753673760166</c:v>
                </c:pt>
                <c:pt idx="66">
                  <c:v>-84.500936275146401</c:v>
                </c:pt>
                <c:pt idx="67">
                  <c:v>-87.293838580567183</c:v>
                </c:pt>
                <c:pt idx="68">
                  <c:v>-89.579077912395107</c:v>
                </c:pt>
                <c:pt idx="69">
                  <c:v>-91.461600403112413</c:v>
                </c:pt>
                <c:pt idx="70">
                  <c:v>-93.023797830341181</c:v>
                </c:pt>
                <c:pt idx="71">
                  <c:v>-94.32456658799984</c:v>
                </c:pt>
                <c:pt idx="72">
                  <c:v>-95.404090353571164</c:v>
                </c:pt>
                <c:pt idx="73">
                  <c:v>-96.289815179820877</c:v>
                </c:pt>
                <c:pt idx="74">
                  <c:v>-97.001706254275817</c:v>
                </c:pt>
                <c:pt idx="75">
                  <c:v>-97.556220007627985</c:v>
                </c:pt>
                <c:pt idx="76">
                  <c:v>-97.969009539315721</c:v>
                </c:pt>
                <c:pt idx="77">
                  <c:v>-98.256573907170974</c:v>
                </c:pt>
                <c:pt idx="78">
                  <c:v>-98.437079985874448</c:v>
                </c:pt>
                <c:pt idx="79">
                  <c:v>-98.530538670818729</c:v>
                </c:pt>
                <c:pt idx="80">
                  <c:v>-98.5584539012915</c:v>
                </c:pt>
                <c:pt idx="81">
                  <c:v>-98.543007319602665</c:v>
                </c:pt>
                <c:pt idx="82">
                  <c:v>-98.505811340208226</c:v>
                </c:pt>
                <c:pt idx="83">
                  <c:v>-98.466277805576311</c:v>
                </c:pt>
                <c:pt idx="84">
                  <c:v>-98.43974027025088</c:v>
                </c:pt>
                <c:pt idx="85">
                  <c:v>-98.435613229671674</c:v>
                </c:pt>
                <c:pt idx="86">
                  <c:v>-98.456050854827552</c:v>
                </c:pt>
                <c:pt idx="87">
                  <c:v>-98.49556964719919</c:v>
                </c:pt>
                <c:pt idx="88">
                  <c:v>-98.541928914959911</c:v>
                </c:pt>
                <c:pt idx="89">
                  <c:v>-98.57813959673345</c:v>
                </c:pt>
                <c:pt idx="90">
                  <c:v>-98.585111469291576</c:v>
                </c:pt>
                <c:pt idx="91">
                  <c:v>-98.544328292162135</c:v>
                </c:pt>
                <c:pt idx="92">
                  <c:v>-98.440089607900063</c:v>
                </c:pt>
                <c:pt idx="93">
                  <c:v>-98.261114418356357</c:v>
                </c:pt>
                <c:pt idx="94">
                  <c:v>-98.001511981340514</c:v>
                </c:pt>
                <c:pt idx="95">
                  <c:v>-97.661174586834491</c:v>
                </c:pt>
                <c:pt idx="96">
                  <c:v>-97.245614899650192</c:v>
                </c:pt>
                <c:pt idx="97">
                  <c:v>-96.765152908180454</c:v>
                </c:pt>
                <c:pt idx="98">
                  <c:v>-96.233216252816476</c:v>
                </c:pt>
                <c:pt idx="99">
                  <c:v>-95.663348862645321</c:v>
                </c:pt>
                <c:pt idx="100">
                  <c:v>-95.064331112538326</c:v>
                </c:pt>
                <c:pt idx="101">
                  <c:v>-94.432624074281676</c:v>
                </c:pt>
                <c:pt idx="102">
                  <c:v>-93.741260088445273</c:v>
                </c:pt>
                <c:pt idx="103">
                  <c:v>-92.924586324148066</c:v>
                </c:pt>
                <c:pt idx="104">
                  <c:v>-91.85956320209165</c:v>
                </c:pt>
                <c:pt idx="105">
                  <c:v>-90.34781437156812</c:v>
                </c:pt>
                <c:pt idx="106">
                  <c:v>-88.110350148536284</c:v>
                </c:pt>
                <c:pt idx="107">
                  <c:v>-84.821115213086884</c:v>
                </c:pt>
                <c:pt idx="108">
                  <c:v>-80.230015688194101</c:v>
                </c:pt>
                <c:pt idx="109">
                  <c:v>-74.475484110960409</c:v>
                </c:pt>
                <c:pt idx="110">
                  <c:v>-68.765971475177025</c:v>
                </c:pt>
                <c:pt idx="111">
                  <c:v>-65.9663137525189</c:v>
                </c:pt>
                <c:pt idx="112">
                  <c:v>-67.882662827376564</c:v>
                </c:pt>
                <c:pt idx="113">
                  <c:v>-72.326783388088487</c:v>
                </c:pt>
                <c:pt idx="114">
                  <c:v>-76.989613952933553</c:v>
                </c:pt>
                <c:pt idx="115">
                  <c:v>-81.088753673760223</c:v>
                </c:pt>
                <c:pt idx="116">
                  <c:v>-84.500936275146486</c:v>
                </c:pt>
                <c:pt idx="117">
                  <c:v>-87.293838580567282</c:v>
                </c:pt>
                <c:pt idx="118">
                  <c:v>-89.579077912395192</c:v>
                </c:pt>
                <c:pt idx="119">
                  <c:v>-91.461600403112485</c:v>
                </c:pt>
                <c:pt idx="120">
                  <c:v>-93.023797830344861</c:v>
                </c:pt>
                <c:pt idx="121">
                  <c:v>-94.324566587999982</c:v>
                </c:pt>
                <c:pt idx="122">
                  <c:v>-95.40409035403718</c:v>
                </c:pt>
                <c:pt idx="123">
                  <c:v>-96.289815179820991</c:v>
                </c:pt>
                <c:pt idx="124">
                  <c:v>-97.001706254275973</c:v>
                </c:pt>
                <c:pt idx="125">
                  <c:v>-97.556220007627942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577-4806-885C-E2D64708D28C}"/>
            </c:ext>
          </c:extLst>
        </c:ser>
        <c:ser>
          <c:idx val="3"/>
          <c:order val="3"/>
          <c:tx>
            <c:strRef>
              <c:f>Sheet1!$J$2</c:f>
              <c:strCache>
                <c:ptCount val="1"/>
                <c:pt idx="0">
                  <c:v>Leg 4_Z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Sheet1!$B$5:$B$130</c:f>
              <c:numCache>
                <c:formatCode>0.00</c:formatCode>
                <c:ptCount val="126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0.24000000000000002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0.39999999999999997</c:v>
                </c:pt>
                <c:pt idx="11">
                  <c:v>0.43999999999999995</c:v>
                </c:pt>
                <c:pt idx="12">
                  <c:v>0.47999999999999993</c:v>
                </c:pt>
                <c:pt idx="13">
                  <c:v>0.51999999999999991</c:v>
                </c:pt>
                <c:pt idx="14">
                  <c:v>0.55999999999999994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0.72000000000000008</c:v>
                </c:pt>
                <c:pt idx="19">
                  <c:v>0.76000000000000012</c:v>
                </c:pt>
                <c:pt idx="20">
                  <c:v>0.80000000000000016</c:v>
                </c:pt>
                <c:pt idx="21">
                  <c:v>0.84000000000000019</c:v>
                </c:pt>
                <c:pt idx="22">
                  <c:v>0.88000000000000023</c:v>
                </c:pt>
                <c:pt idx="23">
                  <c:v>0.92000000000000026</c:v>
                </c:pt>
                <c:pt idx="24">
                  <c:v>0.9600000000000003</c:v>
                </c:pt>
                <c:pt idx="25">
                  <c:v>1.0000000000000002</c:v>
                </c:pt>
                <c:pt idx="26">
                  <c:v>1.0400000000000003</c:v>
                </c:pt>
                <c:pt idx="27">
                  <c:v>1.0800000000000003</c:v>
                </c:pt>
                <c:pt idx="28">
                  <c:v>1.1200000000000003</c:v>
                </c:pt>
                <c:pt idx="29">
                  <c:v>1.1600000000000004</c:v>
                </c:pt>
                <c:pt idx="30">
                  <c:v>1.2000000000000004</c:v>
                </c:pt>
                <c:pt idx="31">
                  <c:v>1.2400000000000004</c:v>
                </c:pt>
                <c:pt idx="32">
                  <c:v>1.2800000000000005</c:v>
                </c:pt>
                <c:pt idx="33">
                  <c:v>1.3200000000000005</c:v>
                </c:pt>
                <c:pt idx="34">
                  <c:v>1.3600000000000005</c:v>
                </c:pt>
                <c:pt idx="35">
                  <c:v>1.4000000000000006</c:v>
                </c:pt>
                <c:pt idx="36">
                  <c:v>1.4400000000000006</c:v>
                </c:pt>
                <c:pt idx="37">
                  <c:v>1.4800000000000006</c:v>
                </c:pt>
                <c:pt idx="38">
                  <c:v>1.5200000000000007</c:v>
                </c:pt>
                <c:pt idx="39">
                  <c:v>1.5600000000000007</c:v>
                </c:pt>
                <c:pt idx="40">
                  <c:v>1.6000000000000008</c:v>
                </c:pt>
                <c:pt idx="41">
                  <c:v>1.6400000000000008</c:v>
                </c:pt>
                <c:pt idx="42">
                  <c:v>1.6800000000000008</c:v>
                </c:pt>
                <c:pt idx="43">
                  <c:v>1.7200000000000009</c:v>
                </c:pt>
                <c:pt idx="44">
                  <c:v>1.7600000000000009</c:v>
                </c:pt>
                <c:pt idx="45">
                  <c:v>1.8000000000000009</c:v>
                </c:pt>
                <c:pt idx="46">
                  <c:v>1.840000000000001</c:v>
                </c:pt>
                <c:pt idx="47">
                  <c:v>1.880000000000001</c:v>
                </c:pt>
                <c:pt idx="48">
                  <c:v>1.920000000000001</c:v>
                </c:pt>
                <c:pt idx="49">
                  <c:v>1.9600000000000011</c:v>
                </c:pt>
                <c:pt idx="50">
                  <c:v>2.0000000000000009</c:v>
                </c:pt>
                <c:pt idx="51">
                  <c:v>2.0400000000000009</c:v>
                </c:pt>
                <c:pt idx="52">
                  <c:v>2.080000000000001</c:v>
                </c:pt>
                <c:pt idx="53">
                  <c:v>2.120000000000001</c:v>
                </c:pt>
                <c:pt idx="54">
                  <c:v>2.160000000000001</c:v>
                </c:pt>
                <c:pt idx="55">
                  <c:v>2.2000000000000011</c:v>
                </c:pt>
                <c:pt idx="56">
                  <c:v>2.2400000000000011</c:v>
                </c:pt>
                <c:pt idx="57">
                  <c:v>2.2800000000000011</c:v>
                </c:pt>
                <c:pt idx="58">
                  <c:v>2.3200000000000012</c:v>
                </c:pt>
                <c:pt idx="59">
                  <c:v>2.3600000000000012</c:v>
                </c:pt>
                <c:pt idx="60">
                  <c:v>2.4000000000000012</c:v>
                </c:pt>
                <c:pt idx="61">
                  <c:v>2.4400000000000013</c:v>
                </c:pt>
                <c:pt idx="62">
                  <c:v>2.4800000000000013</c:v>
                </c:pt>
                <c:pt idx="63">
                  <c:v>2.5200000000000014</c:v>
                </c:pt>
                <c:pt idx="64">
                  <c:v>2.5600000000000014</c:v>
                </c:pt>
                <c:pt idx="65">
                  <c:v>2.6000000000000014</c:v>
                </c:pt>
                <c:pt idx="66">
                  <c:v>2.6400000000000015</c:v>
                </c:pt>
                <c:pt idx="67">
                  <c:v>2.6800000000000015</c:v>
                </c:pt>
                <c:pt idx="68">
                  <c:v>2.7200000000000015</c:v>
                </c:pt>
                <c:pt idx="69">
                  <c:v>2.7600000000000016</c:v>
                </c:pt>
                <c:pt idx="70">
                  <c:v>2.8000000000000016</c:v>
                </c:pt>
                <c:pt idx="71">
                  <c:v>2.8400000000000016</c:v>
                </c:pt>
                <c:pt idx="72">
                  <c:v>2.8800000000000017</c:v>
                </c:pt>
                <c:pt idx="73">
                  <c:v>2.9200000000000017</c:v>
                </c:pt>
                <c:pt idx="74">
                  <c:v>2.9600000000000017</c:v>
                </c:pt>
                <c:pt idx="75">
                  <c:v>3.0000000000000018</c:v>
                </c:pt>
                <c:pt idx="76">
                  <c:v>3.0400000000000018</c:v>
                </c:pt>
                <c:pt idx="77">
                  <c:v>3.0800000000000018</c:v>
                </c:pt>
                <c:pt idx="78">
                  <c:v>3.1200000000000019</c:v>
                </c:pt>
                <c:pt idx="79">
                  <c:v>3.1600000000000019</c:v>
                </c:pt>
                <c:pt idx="80">
                  <c:v>3.200000000000002</c:v>
                </c:pt>
                <c:pt idx="81">
                  <c:v>3.240000000000002</c:v>
                </c:pt>
                <c:pt idx="82">
                  <c:v>3.280000000000002</c:v>
                </c:pt>
                <c:pt idx="83">
                  <c:v>3.3200000000000021</c:v>
                </c:pt>
                <c:pt idx="84">
                  <c:v>3.3600000000000021</c:v>
                </c:pt>
                <c:pt idx="85">
                  <c:v>3.4000000000000021</c:v>
                </c:pt>
                <c:pt idx="86">
                  <c:v>3.4400000000000022</c:v>
                </c:pt>
                <c:pt idx="87">
                  <c:v>3.4800000000000022</c:v>
                </c:pt>
                <c:pt idx="88">
                  <c:v>3.5200000000000022</c:v>
                </c:pt>
                <c:pt idx="89">
                  <c:v>3.5600000000000023</c:v>
                </c:pt>
                <c:pt idx="90">
                  <c:v>3.6000000000000023</c:v>
                </c:pt>
                <c:pt idx="91">
                  <c:v>3.6400000000000023</c:v>
                </c:pt>
                <c:pt idx="92">
                  <c:v>3.6800000000000024</c:v>
                </c:pt>
                <c:pt idx="93">
                  <c:v>3.7200000000000024</c:v>
                </c:pt>
                <c:pt idx="94">
                  <c:v>3.7600000000000025</c:v>
                </c:pt>
                <c:pt idx="95">
                  <c:v>3.8000000000000025</c:v>
                </c:pt>
                <c:pt idx="96">
                  <c:v>3.8400000000000025</c:v>
                </c:pt>
                <c:pt idx="97">
                  <c:v>3.8800000000000026</c:v>
                </c:pt>
                <c:pt idx="98">
                  <c:v>3.9200000000000026</c:v>
                </c:pt>
                <c:pt idx="99">
                  <c:v>3.9600000000000026</c:v>
                </c:pt>
                <c:pt idx="100">
                  <c:v>4.0000000000000027</c:v>
                </c:pt>
                <c:pt idx="101">
                  <c:v>4.0400000000000027</c:v>
                </c:pt>
                <c:pt idx="102">
                  <c:v>4.0800000000000027</c:v>
                </c:pt>
                <c:pt idx="103">
                  <c:v>4.1200000000000028</c:v>
                </c:pt>
                <c:pt idx="104">
                  <c:v>4.1600000000000028</c:v>
                </c:pt>
                <c:pt idx="105">
                  <c:v>4.2000000000000028</c:v>
                </c:pt>
                <c:pt idx="106">
                  <c:v>4.2400000000000029</c:v>
                </c:pt>
                <c:pt idx="107">
                  <c:v>4.2800000000000029</c:v>
                </c:pt>
                <c:pt idx="108">
                  <c:v>4.3200000000000029</c:v>
                </c:pt>
                <c:pt idx="109">
                  <c:v>4.360000000000003</c:v>
                </c:pt>
                <c:pt idx="110">
                  <c:v>4.400000000000003</c:v>
                </c:pt>
                <c:pt idx="111">
                  <c:v>4.4400000000000031</c:v>
                </c:pt>
                <c:pt idx="112">
                  <c:v>4.4800000000000031</c:v>
                </c:pt>
                <c:pt idx="113">
                  <c:v>4.5200000000000031</c:v>
                </c:pt>
                <c:pt idx="114">
                  <c:v>4.5600000000000032</c:v>
                </c:pt>
                <c:pt idx="115">
                  <c:v>4.6000000000000032</c:v>
                </c:pt>
                <c:pt idx="116">
                  <c:v>4.6400000000000032</c:v>
                </c:pt>
                <c:pt idx="117">
                  <c:v>4.6800000000000033</c:v>
                </c:pt>
                <c:pt idx="118">
                  <c:v>4.7200000000000033</c:v>
                </c:pt>
                <c:pt idx="119">
                  <c:v>4.7600000000000033</c:v>
                </c:pt>
                <c:pt idx="120">
                  <c:v>4.8000000000000034</c:v>
                </c:pt>
                <c:pt idx="121">
                  <c:v>4.8400000000000034</c:v>
                </c:pt>
                <c:pt idx="122">
                  <c:v>4.8800000000000034</c:v>
                </c:pt>
                <c:pt idx="123">
                  <c:v>4.9200000000000035</c:v>
                </c:pt>
                <c:pt idx="124">
                  <c:v>4.9600000000000035</c:v>
                </c:pt>
                <c:pt idx="125">
                  <c:v>5</c:v>
                </c:pt>
              </c:numCache>
            </c:numRef>
          </c:xVal>
          <c:yVal>
            <c:numRef>
              <c:f>Sheet1!$J$5:$J$130</c:f>
              <c:numCache>
                <c:formatCode>0.00</c:formatCode>
                <c:ptCount val="126"/>
                <c:pt idx="0">
                  <c:v>-98.082822230964169</c:v>
                </c:pt>
                <c:pt idx="1">
                  <c:v>-98.319476033689867</c:v>
                </c:pt>
                <c:pt idx="2">
                  <c:v>-98.476582342463757</c:v>
                </c:pt>
                <c:pt idx="3">
                  <c:v>-98.561611393642337</c:v>
                </c:pt>
                <c:pt idx="4">
                  <c:v>-98.587213954646757</c:v>
                </c:pt>
                <c:pt idx="5">
                  <c:v>-98.570071775434911</c:v>
                </c:pt>
                <c:pt idx="6">
                  <c:v>-98.529114561557435</c:v>
                </c:pt>
                <c:pt idx="7">
                  <c:v>-98.483121947887298</c:v>
                </c:pt>
                <c:pt idx="8">
                  <c:v>-98.447997209620524</c:v>
                </c:pt>
                <c:pt idx="9">
                  <c:v>-98.434241300779945</c:v>
                </c:pt>
                <c:pt idx="10">
                  <c:v>-98.445218599346319</c:v>
                </c:pt>
                <c:pt idx="11">
                  <c:v>-98.476654757644084</c:v>
                </c:pt>
                <c:pt idx="12">
                  <c:v>-98.517292073017103</c:v>
                </c:pt>
                <c:pt idx="13">
                  <c:v>-98.550459588076052</c:v>
                </c:pt>
                <c:pt idx="14">
                  <c:v>-98.555943094341117</c:v>
                </c:pt>
                <c:pt idx="15">
                  <c:v>-98.511818312213379</c:v>
                </c:pt>
                <c:pt idx="16">
                  <c:v>-98.395988447222209</c:v>
                </c:pt>
                <c:pt idx="17">
                  <c:v>-98.187304627696179</c:v>
                </c:pt>
                <c:pt idx="18">
                  <c:v>-97.866261997797793</c:v>
                </c:pt>
                <c:pt idx="19">
                  <c:v>-97.415205434729927</c:v>
                </c:pt>
                <c:pt idx="20">
                  <c:v>-96.817988843613833</c:v>
                </c:pt>
                <c:pt idx="21">
                  <c:v>-96.058940972741567</c:v>
                </c:pt>
                <c:pt idx="22">
                  <c:v>-95.120943122950962</c:v>
                </c:pt>
                <c:pt idx="23">
                  <c:v>-93.982384849350566</c:v>
                </c:pt>
                <c:pt idx="24">
                  <c:v>-92.612816732320624</c:v>
                </c:pt>
                <c:pt idx="25">
                  <c:v>-90.967394163957522</c:v>
                </c:pt>
                <c:pt idx="26">
                  <c:v>-88.980960043244352</c:v>
                </c:pt>
                <c:pt idx="27">
                  <c:v>-86.564260023485701</c:v>
                </c:pt>
                <c:pt idx="28">
                  <c:v>-83.607876749634769</c:v>
                </c:pt>
                <c:pt idx="29">
                  <c:v>-80.005099403277711</c:v>
                </c:pt>
                <c:pt idx="30">
                  <c:v>-75.719705541842259</c:v>
                </c:pt>
                <c:pt idx="31">
                  <c:v>-70.989172188932685</c:v>
                </c:pt>
                <c:pt idx="32">
                  <c:v>-66.948799291270987</c:v>
                </c:pt>
                <c:pt idx="33">
                  <c:v>-66.276513969267398</c:v>
                </c:pt>
                <c:pt idx="34">
                  <c:v>-70.227256566085742</c:v>
                </c:pt>
                <c:pt idx="35">
                  <c:v>-76.172007777202879</c:v>
                </c:pt>
                <c:pt idx="36">
                  <c:v>-81.657662579493689</c:v>
                </c:pt>
                <c:pt idx="37">
                  <c:v>-85.870965633649774</c:v>
                </c:pt>
                <c:pt idx="38">
                  <c:v>-88.832043937344309</c:v>
                </c:pt>
                <c:pt idx="39">
                  <c:v>-90.833116652599443</c:v>
                </c:pt>
                <c:pt idx="40">
                  <c:v>-92.194290556928323</c:v>
                </c:pt>
                <c:pt idx="41">
                  <c:v>-93.172905988906507</c:v>
                </c:pt>
                <c:pt idx="42">
                  <c:v>-93.944726395209528</c:v>
                </c:pt>
                <c:pt idx="43">
                  <c:v>-94.614662749980567</c:v>
                </c:pt>
                <c:pt idx="44">
                  <c:v>-95.235704288105097</c:v>
                </c:pt>
                <c:pt idx="45">
                  <c:v>-95.826866905408423</c:v>
                </c:pt>
                <c:pt idx="46">
                  <c:v>-96.387269253460488</c:v>
                </c:pt>
                <c:pt idx="47">
                  <c:v>-96.906158548932453</c:v>
                </c:pt>
                <c:pt idx="48">
                  <c:v>-97.369624884007138</c:v>
                </c:pt>
                <c:pt idx="49">
                  <c:v>-97.764877746383291</c:v>
                </c:pt>
                <c:pt idx="50">
                  <c:v>-98.082822230964155</c:v>
                </c:pt>
                <c:pt idx="51">
                  <c:v>-98.319476033689853</c:v>
                </c:pt>
                <c:pt idx="52">
                  <c:v>-98.476582342463686</c:v>
                </c:pt>
                <c:pt idx="53">
                  <c:v>-98.561611393642337</c:v>
                </c:pt>
                <c:pt idx="54">
                  <c:v>-98.587213954646643</c:v>
                </c:pt>
                <c:pt idx="55">
                  <c:v>-98.570071775434954</c:v>
                </c:pt>
                <c:pt idx="56">
                  <c:v>-98.529114561557435</c:v>
                </c:pt>
                <c:pt idx="57">
                  <c:v>-98.483121947887298</c:v>
                </c:pt>
                <c:pt idx="58">
                  <c:v>-98.447997209620723</c:v>
                </c:pt>
                <c:pt idx="59">
                  <c:v>-98.434241300779888</c:v>
                </c:pt>
                <c:pt idx="60">
                  <c:v>-98.445218599346319</c:v>
                </c:pt>
                <c:pt idx="61">
                  <c:v>-98.476654757644127</c:v>
                </c:pt>
                <c:pt idx="62">
                  <c:v>-98.517292073017146</c:v>
                </c:pt>
                <c:pt idx="63">
                  <c:v>-98.550459588076123</c:v>
                </c:pt>
                <c:pt idx="64">
                  <c:v>-98.555943094341174</c:v>
                </c:pt>
                <c:pt idx="65">
                  <c:v>-98.511818312213336</c:v>
                </c:pt>
                <c:pt idx="66">
                  <c:v>-98.395988447222223</c:v>
                </c:pt>
                <c:pt idx="67">
                  <c:v>-98.18730462769625</c:v>
                </c:pt>
                <c:pt idx="68">
                  <c:v>-97.866261997797892</c:v>
                </c:pt>
                <c:pt idx="69">
                  <c:v>-97.41520543473014</c:v>
                </c:pt>
                <c:pt idx="70">
                  <c:v>-96.817988843613833</c:v>
                </c:pt>
                <c:pt idx="71">
                  <c:v>-96.05894097274161</c:v>
                </c:pt>
                <c:pt idx="72">
                  <c:v>-95.120943122951104</c:v>
                </c:pt>
                <c:pt idx="73">
                  <c:v>-93.982384849442994</c:v>
                </c:pt>
                <c:pt idx="74">
                  <c:v>-92.61281673232061</c:v>
                </c:pt>
                <c:pt idx="75">
                  <c:v>-90.967394163956683</c:v>
                </c:pt>
                <c:pt idx="76">
                  <c:v>-88.980960043244536</c:v>
                </c:pt>
                <c:pt idx="77">
                  <c:v>-86.56426002348546</c:v>
                </c:pt>
                <c:pt idx="78">
                  <c:v>-83.607876749635011</c:v>
                </c:pt>
                <c:pt idx="79">
                  <c:v>-80.005099403277683</c:v>
                </c:pt>
                <c:pt idx="80">
                  <c:v>-75.719705541842316</c:v>
                </c:pt>
                <c:pt idx="81">
                  <c:v>-70.989172188932756</c:v>
                </c:pt>
                <c:pt idx="82">
                  <c:v>-66.948799291270575</c:v>
                </c:pt>
                <c:pt idx="83">
                  <c:v>-66.276513969267683</c:v>
                </c:pt>
                <c:pt idx="84">
                  <c:v>-70.227256566085586</c:v>
                </c:pt>
                <c:pt idx="85">
                  <c:v>-76.172007777202666</c:v>
                </c:pt>
                <c:pt idx="86">
                  <c:v>-81.657662579493874</c:v>
                </c:pt>
                <c:pt idx="87">
                  <c:v>-85.870965633649874</c:v>
                </c:pt>
                <c:pt idx="88">
                  <c:v>-88.832043937344068</c:v>
                </c:pt>
                <c:pt idx="89">
                  <c:v>-90.833116652599386</c:v>
                </c:pt>
                <c:pt idx="90">
                  <c:v>-92.194290556928507</c:v>
                </c:pt>
                <c:pt idx="91">
                  <c:v>-93.172905988906535</c:v>
                </c:pt>
                <c:pt idx="92">
                  <c:v>-93.9447263952095</c:v>
                </c:pt>
                <c:pt idx="93">
                  <c:v>-94.614662749980511</c:v>
                </c:pt>
                <c:pt idx="94">
                  <c:v>-95.235704288105211</c:v>
                </c:pt>
                <c:pt idx="95">
                  <c:v>-95.826866905408494</c:v>
                </c:pt>
                <c:pt idx="96">
                  <c:v>-96.38726925346046</c:v>
                </c:pt>
                <c:pt idx="97">
                  <c:v>-96.906158548932467</c:v>
                </c:pt>
                <c:pt idx="98">
                  <c:v>-97.369624884000189</c:v>
                </c:pt>
                <c:pt idx="99">
                  <c:v>-97.764877746381885</c:v>
                </c:pt>
                <c:pt idx="100">
                  <c:v>-98.082822230964183</c:v>
                </c:pt>
                <c:pt idx="101">
                  <c:v>-98.319476033689895</c:v>
                </c:pt>
                <c:pt idx="102">
                  <c:v>-98.476582342463729</c:v>
                </c:pt>
                <c:pt idx="103">
                  <c:v>-98.561611393642323</c:v>
                </c:pt>
                <c:pt idx="104">
                  <c:v>-98.587213954646629</c:v>
                </c:pt>
                <c:pt idx="105">
                  <c:v>-98.570071775434997</c:v>
                </c:pt>
                <c:pt idx="106">
                  <c:v>-98.529114561557407</c:v>
                </c:pt>
                <c:pt idx="107">
                  <c:v>-98.48312194788744</c:v>
                </c:pt>
                <c:pt idx="108">
                  <c:v>-98.447997209620667</c:v>
                </c:pt>
                <c:pt idx="109">
                  <c:v>-98.434241300779917</c:v>
                </c:pt>
                <c:pt idx="110">
                  <c:v>-98.44521859934629</c:v>
                </c:pt>
                <c:pt idx="111">
                  <c:v>-98.476654757644155</c:v>
                </c:pt>
                <c:pt idx="112">
                  <c:v>-98.517292073017103</c:v>
                </c:pt>
                <c:pt idx="113">
                  <c:v>-98.550459588076095</c:v>
                </c:pt>
                <c:pt idx="114">
                  <c:v>-98.555943094341174</c:v>
                </c:pt>
                <c:pt idx="115">
                  <c:v>-98.511818312213279</c:v>
                </c:pt>
                <c:pt idx="116">
                  <c:v>-98.395988447222152</c:v>
                </c:pt>
                <c:pt idx="117">
                  <c:v>-98.187304627696093</c:v>
                </c:pt>
                <c:pt idx="118">
                  <c:v>-97.86626199779775</c:v>
                </c:pt>
                <c:pt idx="119">
                  <c:v>-97.415205434730339</c:v>
                </c:pt>
                <c:pt idx="120">
                  <c:v>-96.817988843618764</c:v>
                </c:pt>
                <c:pt idx="121">
                  <c:v>-96.058940972741567</c:v>
                </c:pt>
                <c:pt idx="122">
                  <c:v>-95.120943123602828</c:v>
                </c:pt>
                <c:pt idx="123">
                  <c:v>-93.982384849442937</c:v>
                </c:pt>
                <c:pt idx="124">
                  <c:v>-92.612816732320596</c:v>
                </c:pt>
                <c:pt idx="125">
                  <c:v>-90.96739416395657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577-4806-885C-E2D64708D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5083151"/>
        <c:axId val="1595083631"/>
      </c:scatterChart>
      <c:valAx>
        <c:axId val="1595083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083631"/>
        <c:crosses val="autoZero"/>
        <c:crossBetween val="midCat"/>
      </c:valAx>
      <c:valAx>
        <c:axId val="159508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083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FE586A7-E42A-4E87-B89A-BFC32F555E82}">
  <sheetPr/>
  <sheetViews>
    <sheetView zoomScale="9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9803366-12D6-4C39-B3FA-401190F1A99B}">
  <sheetPr/>
  <sheetViews>
    <sheetView zoomScale="9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88B74E2-913A-4A39-8E55-35A7338256D9}">
  <sheetPr/>
  <sheetViews>
    <sheetView zoomScale="17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69C3A4-5A22-C597-5A1C-AD1A63A35C4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020211-131E-351E-AA24-2EC0BC2AB2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F88EE5-2332-FC9F-C489-A49E40A8F1F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D563E-1ED3-4042-AE5E-70368AA20955}">
  <dimension ref="A1:Z132"/>
  <sheetViews>
    <sheetView tabSelected="1" topLeftCell="G1" zoomScale="70" zoomScaleNormal="70" workbookViewId="0">
      <selection activeCell="W5" sqref="W5"/>
    </sheetView>
  </sheetViews>
  <sheetFormatPr defaultRowHeight="14.4" x14ac:dyDescent="0.3"/>
  <cols>
    <col min="1" max="1" width="7.109375" bestFit="1" customWidth="1"/>
    <col min="2" max="2" width="5.6640625" bestFit="1" customWidth="1"/>
    <col min="3" max="10" width="24.5546875" bestFit="1" customWidth="1"/>
    <col min="20" max="21" width="8.88671875" style="4"/>
    <col min="23" max="23" width="10.44140625" style="8" bestFit="1" customWidth="1"/>
    <col min="24" max="26" width="10.44140625" bestFit="1" customWidth="1"/>
  </cols>
  <sheetData>
    <row r="1" spans="1:26" ht="15" thickBot="1" x14ac:dyDescent="0.35"/>
    <row r="2" spans="1:26" x14ac:dyDescent="0.3">
      <c r="A2" s="1"/>
      <c r="B2" s="1"/>
      <c r="C2" s="1" t="s">
        <v>7</v>
      </c>
      <c r="D2" s="1" t="s">
        <v>8</v>
      </c>
      <c r="E2" s="1" t="s">
        <v>9</v>
      </c>
      <c r="F2" s="1" t="s">
        <v>10</v>
      </c>
      <c r="G2" s="1" t="s">
        <v>14</v>
      </c>
      <c r="H2" s="1" t="s">
        <v>12</v>
      </c>
      <c r="I2" s="1" t="s">
        <v>11</v>
      </c>
      <c r="J2" s="1" t="s">
        <v>13</v>
      </c>
      <c r="K2" s="1"/>
      <c r="L2" s="1"/>
      <c r="M2" s="1"/>
      <c r="N2" s="1"/>
      <c r="O2" s="1"/>
      <c r="P2" s="1"/>
      <c r="Q2" s="1"/>
      <c r="R2" s="1"/>
      <c r="S2" s="1"/>
      <c r="T2" s="1"/>
      <c r="U2" s="2"/>
    </row>
    <row r="3" spans="1:26" x14ac:dyDescent="0.3">
      <c r="A3" s="2"/>
      <c r="B3" s="2"/>
      <c r="C3" s="2" t="s">
        <v>6</v>
      </c>
      <c r="D3" s="2" t="s">
        <v>4</v>
      </c>
      <c r="E3" s="2" t="s">
        <v>2</v>
      </c>
      <c r="F3" s="2" t="s">
        <v>5</v>
      </c>
      <c r="G3" s="2" t="s">
        <v>6</v>
      </c>
      <c r="H3" s="2" t="s">
        <v>4</v>
      </c>
      <c r="I3" s="2" t="s">
        <v>2</v>
      </c>
      <c r="J3" s="2" t="s">
        <v>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6" x14ac:dyDescent="0.3">
      <c r="A4" s="3" t="s">
        <v>0</v>
      </c>
      <c r="B4" s="3" t="s">
        <v>1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/>
      <c r="L4" s="3" t="s">
        <v>16</v>
      </c>
      <c r="M4" s="3" t="s">
        <v>17</v>
      </c>
      <c r="N4" s="3" t="s">
        <v>15</v>
      </c>
      <c r="O4" s="3"/>
      <c r="P4" s="3" t="s">
        <v>18</v>
      </c>
      <c r="Q4" s="3" t="s">
        <v>19</v>
      </c>
      <c r="R4" s="3" t="s">
        <v>15</v>
      </c>
      <c r="S4" s="3"/>
      <c r="T4" s="3" t="s">
        <v>20</v>
      </c>
      <c r="U4" s="2"/>
      <c r="W4" s="9" t="s">
        <v>21</v>
      </c>
      <c r="X4" s="9"/>
      <c r="Y4" s="9"/>
      <c r="Z4" s="9"/>
    </row>
    <row r="5" spans="1:26" x14ac:dyDescent="0.3">
      <c r="A5" s="4">
        <v>1</v>
      </c>
      <c r="B5" s="4">
        <v>0</v>
      </c>
      <c r="C5" s="4">
        <v>24.105786909501617</v>
      </c>
      <c r="D5" s="4">
        <v>-181.87996992861389</v>
      </c>
      <c r="E5" s="4">
        <v>-67.606625987709023</v>
      </c>
      <c r="F5" s="4">
        <v>-98.894331072918703</v>
      </c>
      <c r="G5" s="4">
        <v>-97.556220007628482</v>
      </c>
      <c r="H5" s="4">
        <v>-90.96739416395647</v>
      </c>
      <c r="I5" s="4">
        <v>-95.064331112538312</v>
      </c>
      <c r="J5" s="4">
        <v>-98.082822230964169</v>
      </c>
      <c r="L5" s="4">
        <f>MIN(G5:J5)</f>
        <v>-98.082822230964169</v>
      </c>
      <c r="M5" s="4">
        <f>SMALL(G5:J5,2)</f>
        <v>-97.556220007628482</v>
      </c>
      <c r="N5" s="4">
        <f>ABS(L5-M5)</f>
        <v>0.5266022233356864</v>
      </c>
      <c r="P5" s="4">
        <f>_xlfn.XLOOKUP(L5,G5:J5,C5:F5)</f>
        <v>-98.894331072918703</v>
      </c>
      <c r="Q5" s="4">
        <f>_xlfn.XLOOKUP(M5,G5:J5,C5:F5)</f>
        <v>24.105786909501617</v>
      </c>
      <c r="R5" s="4">
        <f>ABS(P5-Q5)</f>
        <v>123.00011798242032</v>
      </c>
      <c r="T5" s="4">
        <f>DEGREES(ATAN(N5/R5))</f>
        <v>0.24529976904329934</v>
      </c>
      <c r="W5" s="8">
        <f>IF((G5&lt;=SMALL($G5:$J5,2)), 2.803, 0)</f>
        <v>2.8029999999999999</v>
      </c>
      <c r="X5" s="8">
        <f t="shared" ref="X5:Z20" si="0">IF((H5&lt;=SMALL($G5:$J5,2)), 2.803, 0)</f>
        <v>0</v>
      </c>
      <c r="Y5" s="8">
        <f t="shared" si="0"/>
        <v>0</v>
      </c>
      <c r="Z5" s="8">
        <f t="shared" si="0"/>
        <v>2.8029999999999999</v>
      </c>
    </row>
    <row r="6" spans="1:26" x14ac:dyDescent="0.3">
      <c r="A6" s="4">
        <v>2</v>
      </c>
      <c r="B6" s="4">
        <v>0.04</v>
      </c>
      <c r="C6" s="4">
        <v>21.119234924236338</v>
      </c>
      <c r="D6" s="4">
        <v>-180.2417480400652</v>
      </c>
      <c r="E6" s="4">
        <v>-67.647369082113485</v>
      </c>
      <c r="F6" s="4">
        <v>-103.01550130721093</v>
      </c>
      <c r="G6" s="4">
        <v>-97.969009539314172</v>
      </c>
      <c r="H6" s="4">
        <v>-88.980960043242078</v>
      </c>
      <c r="I6" s="4">
        <v>-94.432624074281676</v>
      </c>
      <c r="J6" s="4">
        <v>-98.319476033689867</v>
      </c>
      <c r="L6" s="4">
        <f t="shared" ref="L6:L69" si="1">MIN(G6:J6)</f>
        <v>-98.319476033689867</v>
      </c>
      <c r="M6" s="4">
        <f t="shared" ref="M6:M69" si="2">SMALL(G6:J6,2)</f>
        <v>-97.969009539314172</v>
      </c>
      <c r="N6" s="4">
        <f t="shared" ref="N6:N69" si="3">ABS(L6-M6)</f>
        <v>0.35046649437569499</v>
      </c>
      <c r="P6" s="4">
        <f t="shared" ref="P6:P69" si="4">_xlfn.XLOOKUP(L6,G6:J6,C6:F6)</f>
        <v>-103.01550130721093</v>
      </c>
      <c r="Q6" s="4">
        <f t="shared" ref="Q6:Q69" si="5">_xlfn.XLOOKUP(M6,G6:J6,C6:F6)</f>
        <v>21.119234924236338</v>
      </c>
      <c r="R6" s="4">
        <f t="shared" ref="R6:R69" si="6">ABS(P6-Q6)</f>
        <v>124.13473623144726</v>
      </c>
      <c r="T6" s="4">
        <f t="shared" ref="T6:T69" si="7">DEGREES(ATAN(N6/R6))</f>
        <v>0.16176131070077263</v>
      </c>
      <c r="W6" s="8">
        <f t="shared" ref="W6:W69" si="8">IF((G6&lt;=SMALL($G6:$J6,2)), 2.803, 0)</f>
        <v>2.8029999999999999</v>
      </c>
      <c r="X6" s="8">
        <f t="shared" si="0"/>
        <v>0</v>
      </c>
      <c r="Y6" s="8">
        <f t="shared" si="0"/>
        <v>0</v>
      </c>
      <c r="Z6" s="8">
        <f t="shared" si="0"/>
        <v>2.8029999999999999</v>
      </c>
    </row>
    <row r="7" spans="1:26" x14ac:dyDescent="0.3">
      <c r="A7" s="4">
        <v>3</v>
      </c>
      <c r="B7" s="4">
        <v>0.08</v>
      </c>
      <c r="C7" s="4">
        <v>17.879290275892004</v>
      </c>
      <c r="D7" s="4">
        <v>-177.44768278407477</v>
      </c>
      <c r="E7" s="4">
        <v>-66.596385968660485</v>
      </c>
      <c r="F7" s="4">
        <v>-107.3182098934371</v>
      </c>
      <c r="G7" s="4">
        <v>-98.256573907169681</v>
      </c>
      <c r="H7" s="4">
        <v>-86.564260023483854</v>
      </c>
      <c r="I7" s="4">
        <v>-93.741260088445159</v>
      </c>
      <c r="J7" s="4">
        <v>-98.476582342463757</v>
      </c>
      <c r="L7" s="4">
        <f t="shared" si="1"/>
        <v>-98.476582342463757</v>
      </c>
      <c r="M7" s="4">
        <f t="shared" si="2"/>
        <v>-98.256573907169681</v>
      </c>
      <c r="N7" s="4">
        <f t="shared" si="3"/>
        <v>0.22000843529407632</v>
      </c>
      <c r="P7" s="4">
        <f t="shared" si="4"/>
        <v>-107.3182098934371</v>
      </c>
      <c r="Q7" s="4">
        <f t="shared" si="5"/>
        <v>17.879290275892004</v>
      </c>
      <c r="R7" s="4">
        <f t="shared" si="6"/>
        <v>125.1975001693291</v>
      </c>
      <c r="T7" s="4">
        <f t="shared" si="7"/>
        <v>0.10068525175809806</v>
      </c>
      <c r="W7" s="8">
        <f t="shared" si="8"/>
        <v>2.8029999999999999</v>
      </c>
      <c r="X7" s="8">
        <f t="shared" si="0"/>
        <v>0</v>
      </c>
      <c r="Y7" s="8">
        <f t="shared" si="0"/>
        <v>0</v>
      </c>
      <c r="Z7" s="8">
        <f t="shared" si="0"/>
        <v>2.8029999999999999</v>
      </c>
    </row>
    <row r="8" spans="1:26" x14ac:dyDescent="0.3">
      <c r="A8" s="4">
        <v>4</v>
      </c>
      <c r="B8" s="4">
        <v>0.12</v>
      </c>
      <c r="C8" s="4">
        <v>14.438985602750989</v>
      </c>
      <c r="D8" s="4">
        <v>-173.37763899858837</v>
      </c>
      <c r="E8" s="4">
        <v>-64.297176519168858</v>
      </c>
      <c r="F8" s="4">
        <v>-111.73966301412563</v>
      </c>
      <c r="G8" s="4">
        <v>-98.437079713020353</v>
      </c>
      <c r="H8" s="4">
        <v>-83.607876498487812</v>
      </c>
      <c r="I8" s="4">
        <v>-92.924586324148066</v>
      </c>
      <c r="J8" s="4">
        <v>-98.561611393642337</v>
      </c>
      <c r="L8" s="4">
        <f t="shared" si="1"/>
        <v>-98.561611393642337</v>
      </c>
      <c r="M8" s="4">
        <f t="shared" si="2"/>
        <v>-98.437079713020353</v>
      </c>
      <c r="N8" s="4">
        <f t="shared" si="3"/>
        <v>0.12453168062198472</v>
      </c>
      <c r="P8" s="4">
        <f t="shared" si="4"/>
        <v>-111.73966301412563</v>
      </c>
      <c r="Q8" s="4">
        <f t="shared" si="5"/>
        <v>14.438985602750989</v>
      </c>
      <c r="R8" s="4">
        <f t="shared" si="6"/>
        <v>126.17864861687661</v>
      </c>
      <c r="T8" s="4">
        <f t="shared" si="7"/>
        <v>5.6547898371302828E-2</v>
      </c>
      <c r="W8" s="8">
        <f t="shared" si="8"/>
        <v>2.8029999999999999</v>
      </c>
      <c r="X8" s="8">
        <f t="shared" si="0"/>
        <v>0</v>
      </c>
      <c r="Y8" s="8">
        <f t="shared" si="0"/>
        <v>0</v>
      </c>
      <c r="Z8" s="8">
        <f t="shared" si="0"/>
        <v>2.8029999999999999</v>
      </c>
    </row>
    <row r="9" spans="1:26" x14ac:dyDescent="0.3">
      <c r="A9" s="4">
        <v>5</v>
      </c>
      <c r="B9" s="4">
        <v>0.16</v>
      </c>
      <c r="C9" s="4">
        <v>10.84007302802722</v>
      </c>
      <c r="D9" s="4">
        <v>-167.94405544466335</v>
      </c>
      <c r="E9" s="4">
        <v>-60.611553829521426</v>
      </c>
      <c r="F9" s="4">
        <v>-116.22440920952072</v>
      </c>
      <c r="G9" s="4">
        <v>-98.530538596990013</v>
      </c>
      <c r="H9" s="4">
        <v>-80.005099598964506</v>
      </c>
      <c r="I9" s="4">
        <v>-91.859563202091763</v>
      </c>
      <c r="J9" s="4">
        <v>-98.587213954646757</v>
      </c>
      <c r="L9" s="4">
        <f t="shared" si="1"/>
        <v>-98.587213954646757</v>
      </c>
      <c r="M9" s="4">
        <f t="shared" si="2"/>
        <v>-98.530538596990013</v>
      </c>
      <c r="N9" s="4">
        <f t="shared" si="3"/>
        <v>5.6675357656743586E-2</v>
      </c>
      <c r="P9" s="4">
        <f t="shared" si="4"/>
        <v>-116.22440920952072</v>
      </c>
      <c r="Q9" s="4">
        <f t="shared" si="5"/>
        <v>10.84007302802722</v>
      </c>
      <c r="R9" s="4">
        <f t="shared" si="6"/>
        <v>127.06448223754794</v>
      </c>
      <c r="T9" s="4">
        <f t="shared" si="7"/>
        <v>2.5555989554261076E-2</v>
      </c>
      <c r="W9" s="8">
        <f t="shared" si="8"/>
        <v>2.8029999999999999</v>
      </c>
      <c r="X9" s="8">
        <f t="shared" si="0"/>
        <v>0</v>
      </c>
      <c r="Y9" s="8">
        <f t="shared" si="0"/>
        <v>0</v>
      </c>
      <c r="Z9" s="8">
        <f t="shared" si="0"/>
        <v>2.8029999999999999</v>
      </c>
    </row>
    <row r="10" spans="1:26" x14ac:dyDescent="0.3">
      <c r="A10" s="4">
        <v>6</v>
      </c>
      <c r="B10" s="4">
        <v>0.2</v>
      </c>
      <c r="C10" s="4">
        <v>7.1136503858635507</v>
      </c>
      <c r="D10" s="4">
        <v>-161.11731486255192</v>
      </c>
      <c r="E10" s="4">
        <v>-55.458888149785665</v>
      </c>
      <c r="F10" s="4">
        <v>-120.72459494070087</v>
      </c>
      <c r="G10" s="4">
        <v>-98.55845361616548</v>
      </c>
      <c r="H10" s="4">
        <v>-75.719704905401812</v>
      </c>
      <c r="I10" s="4">
        <v>-90.347814371567964</v>
      </c>
      <c r="J10" s="4">
        <v>-98.570071775434911</v>
      </c>
      <c r="L10" s="4">
        <f t="shared" si="1"/>
        <v>-98.570071775434911</v>
      </c>
      <c r="M10" s="4">
        <f t="shared" si="2"/>
        <v>-98.55845361616548</v>
      </c>
      <c r="N10" s="4">
        <f t="shared" si="3"/>
        <v>1.1618159269431771E-2</v>
      </c>
      <c r="P10" s="4">
        <f t="shared" si="4"/>
        <v>-120.72459494070087</v>
      </c>
      <c r="Q10" s="4">
        <f t="shared" si="5"/>
        <v>7.1136503858635507</v>
      </c>
      <c r="R10" s="4">
        <f t="shared" si="6"/>
        <v>127.83824532656442</v>
      </c>
      <c r="T10" s="4">
        <f t="shared" si="7"/>
        <v>5.2071388207501484E-3</v>
      </c>
      <c r="W10" s="8">
        <f t="shared" si="8"/>
        <v>2.8029999999999999</v>
      </c>
      <c r="X10" s="8">
        <f t="shared" si="0"/>
        <v>0</v>
      </c>
      <c r="Y10" s="8">
        <f t="shared" si="0"/>
        <v>0</v>
      </c>
      <c r="Z10" s="8">
        <f t="shared" si="0"/>
        <v>2.8029999999999999</v>
      </c>
    </row>
    <row r="11" spans="1:26" x14ac:dyDescent="0.3">
      <c r="A11" s="4">
        <v>7</v>
      </c>
      <c r="B11" s="4">
        <v>0.24000000000000002</v>
      </c>
      <c r="C11" s="4">
        <v>3.280896709508454</v>
      </c>
      <c r="D11" s="4">
        <v>-153.03582424791128</v>
      </c>
      <c r="E11" s="4">
        <v>-48.883084577079543</v>
      </c>
      <c r="F11" s="4">
        <v>-125.20066768564591</v>
      </c>
      <c r="G11" s="4">
        <v>-98.543006890590206</v>
      </c>
      <c r="H11" s="4">
        <v>-70.98916201843555</v>
      </c>
      <c r="I11" s="4">
        <v>-88.110350148536369</v>
      </c>
      <c r="J11" s="4">
        <v>-98.529114561557435</v>
      </c>
      <c r="L11" s="4">
        <f t="shared" si="1"/>
        <v>-98.543006890590206</v>
      </c>
      <c r="M11" s="4">
        <f t="shared" si="2"/>
        <v>-98.529114561557435</v>
      </c>
      <c r="N11" s="4">
        <f t="shared" si="3"/>
        <v>1.3892329032771045E-2</v>
      </c>
      <c r="P11" s="4">
        <f t="shared" si="4"/>
        <v>3.280896709508454</v>
      </c>
      <c r="Q11" s="4">
        <f t="shared" si="5"/>
        <v>-125.20066768564591</v>
      </c>
      <c r="R11" s="4">
        <f t="shared" si="6"/>
        <v>128.48156439515435</v>
      </c>
      <c r="T11" s="4">
        <f t="shared" si="7"/>
        <v>6.1952220291679417E-3</v>
      </c>
      <c r="W11" s="8">
        <f t="shared" si="8"/>
        <v>2.8029999999999999</v>
      </c>
      <c r="X11" s="8">
        <f t="shared" si="0"/>
        <v>0</v>
      </c>
      <c r="Y11" s="8">
        <f t="shared" si="0"/>
        <v>0</v>
      </c>
      <c r="Z11" s="8">
        <f t="shared" si="0"/>
        <v>2.8029999999999999</v>
      </c>
    </row>
    <row r="12" spans="1:26" x14ac:dyDescent="0.3">
      <c r="A12" s="4">
        <v>8</v>
      </c>
      <c r="B12" s="4">
        <v>0.28000000000000003</v>
      </c>
      <c r="C12" s="4">
        <v>-0.6458736045362059</v>
      </c>
      <c r="D12" s="4">
        <v>-144.43171973539626</v>
      </c>
      <c r="E12" s="4">
        <v>-41.149867158760522</v>
      </c>
      <c r="F12" s="4">
        <v>-129.62225122784326</v>
      </c>
      <c r="G12" s="4">
        <v>-98.505811467690492</v>
      </c>
      <c r="H12" s="4">
        <v>-66.948797435237807</v>
      </c>
      <c r="I12" s="4">
        <v>-84.821115213086571</v>
      </c>
      <c r="J12" s="4">
        <v>-98.483121947887298</v>
      </c>
      <c r="L12" s="4">
        <f t="shared" si="1"/>
        <v>-98.505811467690492</v>
      </c>
      <c r="M12" s="4">
        <f t="shared" si="2"/>
        <v>-98.483121947887298</v>
      </c>
      <c r="N12" s="4">
        <f t="shared" si="3"/>
        <v>2.2689519803194003E-2</v>
      </c>
      <c r="P12" s="4">
        <f t="shared" si="4"/>
        <v>-0.6458736045362059</v>
      </c>
      <c r="Q12" s="4">
        <f t="shared" si="5"/>
        <v>-129.62225122784326</v>
      </c>
      <c r="R12" s="4">
        <f t="shared" si="6"/>
        <v>128.97637762330706</v>
      </c>
      <c r="T12" s="4">
        <f t="shared" si="7"/>
        <v>1.0079471407450401E-2</v>
      </c>
      <c r="W12" s="8">
        <f t="shared" si="8"/>
        <v>2.8029999999999999</v>
      </c>
      <c r="X12" s="8">
        <f t="shared" si="0"/>
        <v>0</v>
      </c>
      <c r="Y12" s="8">
        <f t="shared" si="0"/>
        <v>0</v>
      </c>
      <c r="Z12" s="8">
        <f t="shared" si="0"/>
        <v>2.8029999999999999</v>
      </c>
    </row>
    <row r="13" spans="1:26" x14ac:dyDescent="0.3">
      <c r="A13" s="4">
        <v>9</v>
      </c>
      <c r="B13" s="4">
        <v>0.32</v>
      </c>
      <c r="C13" s="4">
        <v>-4.6616064501871506</v>
      </c>
      <c r="D13" s="4">
        <v>-136.81857107763753</v>
      </c>
      <c r="E13" s="4">
        <v>-32.848372004189734</v>
      </c>
      <c r="F13" s="4">
        <v>-133.96867153370391</v>
      </c>
      <c r="G13" s="4">
        <v>-98.4662779356009</v>
      </c>
      <c r="H13" s="4">
        <v>-66.276513437250344</v>
      </c>
      <c r="I13" s="4">
        <v>-80.230015688193831</v>
      </c>
      <c r="J13" s="4">
        <v>-98.447997209620524</v>
      </c>
      <c r="L13" s="4">
        <f t="shared" si="1"/>
        <v>-98.4662779356009</v>
      </c>
      <c r="M13" s="4">
        <f t="shared" si="2"/>
        <v>-98.447997209620524</v>
      </c>
      <c r="N13" s="4">
        <f t="shared" si="3"/>
        <v>1.8280725980375223E-2</v>
      </c>
      <c r="P13" s="4">
        <f t="shared" si="4"/>
        <v>-4.6616064501871506</v>
      </c>
      <c r="Q13" s="4">
        <f t="shared" si="5"/>
        <v>-133.96867153370391</v>
      </c>
      <c r="R13" s="4">
        <f t="shared" si="6"/>
        <v>129.30706508351676</v>
      </c>
      <c r="T13" s="4">
        <f t="shared" si="7"/>
        <v>8.1001640355540909E-3</v>
      </c>
      <c r="W13" s="8">
        <f t="shared" si="8"/>
        <v>2.8029999999999999</v>
      </c>
      <c r="X13" s="8">
        <f t="shared" si="0"/>
        <v>0</v>
      </c>
      <c r="Y13" s="8">
        <f t="shared" si="0"/>
        <v>0</v>
      </c>
      <c r="Z13" s="8">
        <f t="shared" si="0"/>
        <v>2.8029999999999999</v>
      </c>
    </row>
    <row r="14" spans="1:26" x14ac:dyDescent="0.3">
      <c r="A14" s="4">
        <v>10</v>
      </c>
      <c r="B14" s="4">
        <v>0.36</v>
      </c>
      <c r="C14" s="4">
        <v>-8.7661241605314757</v>
      </c>
      <c r="D14" s="4">
        <v>-130.22120457385435</v>
      </c>
      <c r="E14" s="4">
        <v>-24.874843060285585</v>
      </c>
      <c r="F14" s="4">
        <v>-138.22851062287432</v>
      </c>
      <c r="G14" s="4">
        <v>-98.43974027024943</v>
      </c>
      <c r="H14" s="4">
        <v>-70.227256566085288</v>
      </c>
      <c r="I14" s="4">
        <v>-74.475484110960736</v>
      </c>
      <c r="J14" s="4">
        <v>-98.434241300779945</v>
      </c>
      <c r="L14" s="4">
        <f t="shared" si="1"/>
        <v>-98.43974027024943</v>
      </c>
      <c r="M14" s="4">
        <f t="shared" si="2"/>
        <v>-98.434241300779945</v>
      </c>
      <c r="N14" s="4">
        <f t="shared" si="3"/>
        <v>5.4989694694853597E-3</v>
      </c>
      <c r="P14" s="4">
        <f t="shared" si="4"/>
        <v>-8.7661241605314757</v>
      </c>
      <c r="Q14" s="4">
        <f t="shared" si="5"/>
        <v>-138.22851062287432</v>
      </c>
      <c r="R14" s="4">
        <f t="shared" si="6"/>
        <v>129.46238646234286</v>
      </c>
      <c r="T14" s="4">
        <f t="shared" si="7"/>
        <v>2.4336623995029742E-3</v>
      </c>
      <c r="W14" s="8">
        <f t="shared" si="8"/>
        <v>2.8029999999999999</v>
      </c>
      <c r="X14" s="8">
        <f t="shared" si="0"/>
        <v>0</v>
      </c>
      <c r="Y14" s="8">
        <f t="shared" si="0"/>
        <v>0</v>
      </c>
      <c r="Z14" s="8">
        <f t="shared" si="0"/>
        <v>2.8029999999999999</v>
      </c>
    </row>
    <row r="15" spans="1:26" x14ac:dyDescent="0.3">
      <c r="A15" s="4">
        <v>11</v>
      </c>
      <c r="B15" s="4">
        <v>0.39999999999999997</v>
      </c>
      <c r="C15" s="4">
        <v>-12.960987111957671</v>
      </c>
      <c r="D15" s="4">
        <v>-122.96958271591832</v>
      </c>
      <c r="E15" s="4">
        <v>-17.918207397968651</v>
      </c>
      <c r="F15" s="4">
        <v>-142.39784540757918</v>
      </c>
      <c r="G15" s="4">
        <v>-98.435613415765204</v>
      </c>
      <c r="H15" s="4">
        <v>-76.172008294464632</v>
      </c>
      <c r="I15" s="4">
        <v>-68.765971475177324</v>
      </c>
      <c r="J15" s="4">
        <v>-98.445218599346319</v>
      </c>
      <c r="L15" s="4">
        <f t="shared" si="1"/>
        <v>-98.445218599346319</v>
      </c>
      <c r="M15" s="4">
        <f t="shared" si="2"/>
        <v>-98.435613415765204</v>
      </c>
      <c r="N15" s="4">
        <f t="shared" si="3"/>
        <v>9.6051835811152841E-3</v>
      </c>
      <c r="P15" s="4">
        <f t="shared" si="4"/>
        <v>-142.39784540757918</v>
      </c>
      <c r="Q15" s="4">
        <f t="shared" si="5"/>
        <v>-12.960987111957671</v>
      </c>
      <c r="R15" s="4">
        <f t="shared" si="6"/>
        <v>129.43685829562151</v>
      </c>
      <c r="T15" s="4">
        <f t="shared" si="7"/>
        <v>4.2517756293122847E-3</v>
      </c>
      <c r="W15" s="8">
        <f t="shared" si="8"/>
        <v>2.8029999999999999</v>
      </c>
      <c r="X15" s="8">
        <f t="shared" si="0"/>
        <v>0</v>
      </c>
      <c r="Y15" s="8">
        <f t="shared" si="0"/>
        <v>0</v>
      </c>
      <c r="Z15" s="8">
        <f t="shared" si="0"/>
        <v>2.8029999999999999</v>
      </c>
    </row>
    <row r="16" spans="1:26" x14ac:dyDescent="0.3">
      <c r="A16" s="4">
        <v>12</v>
      </c>
      <c r="B16" s="4">
        <v>0.43999999999999995</v>
      </c>
      <c r="C16" s="4">
        <v>-17.245867691050705</v>
      </c>
      <c r="D16" s="4">
        <v>-114.80661821665289</v>
      </c>
      <c r="E16" s="4">
        <v>-11.199899161376678</v>
      </c>
      <c r="F16" s="4">
        <v>-146.47722714959647</v>
      </c>
      <c r="G16" s="4">
        <v>-98.456051336409686</v>
      </c>
      <c r="H16" s="4">
        <v>-81.657662726349088</v>
      </c>
      <c r="I16" s="4">
        <v>-65.966313752518815</v>
      </c>
      <c r="J16" s="4">
        <v>-98.476654757644084</v>
      </c>
      <c r="L16" s="4">
        <f t="shared" si="1"/>
        <v>-98.476654757644084</v>
      </c>
      <c r="M16" s="4">
        <f t="shared" si="2"/>
        <v>-98.456051336409686</v>
      </c>
      <c r="N16" s="4">
        <f t="shared" si="3"/>
        <v>2.0603421234397956E-2</v>
      </c>
      <c r="P16" s="4">
        <f t="shared" si="4"/>
        <v>-146.47722714959647</v>
      </c>
      <c r="Q16" s="4">
        <f t="shared" si="5"/>
        <v>-17.245867691050705</v>
      </c>
      <c r="R16" s="4">
        <f t="shared" si="6"/>
        <v>129.23135945854577</v>
      </c>
      <c r="T16" s="4">
        <f t="shared" si="7"/>
        <v>9.134695132863406E-3</v>
      </c>
      <c r="W16" s="8">
        <f t="shared" si="8"/>
        <v>2.8029999999999999</v>
      </c>
      <c r="X16" s="8">
        <f t="shared" si="0"/>
        <v>0</v>
      </c>
      <c r="Y16" s="8">
        <f t="shared" si="0"/>
        <v>0</v>
      </c>
      <c r="Z16" s="8">
        <f t="shared" si="0"/>
        <v>2.8029999999999999</v>
      </c>
    </row>
    <row r="17" spans="1:26" x14ac:dyDescent="0.3">
      <c r="A17" s="4">
        <v>13</v>
      </c>
      <c r="B17" s="4">
        <v>0.47999999999999993</v>
      </c>
      <c r="C17" s="4">
        <v>-21.614969127086617</v>
      </c>
      <c r="D17" s="4">
        <v>-106.5845841311683</v>
      </c>
      <c r="E17" s="4">
        <v>-3.1792131662770089</v>
      </c>
      <c r="F17" s="4">
        <v>-150.46810335008013</v>
      </c>
      <c r="G17" s="4">
        <v>-98.49556964719865</v>
      </c>
      <c r="H17" s="4">
        <v>-85.87096563364932</v>
      </c>
      <c r="I17" s="4">
        <v>-67.882662827376265</v>
      </c>
      <c r="J17" s="4">
        <v>-98.517292073017103</v>
      </c>
      <c r="L17" s="4">
        <f t="shared" si="1"/>
        <v>-98.517292073017103</v>
      </c>
      <c r="M17" s="4">
        <f t="shared" si="2"/>
        <v>-98.49556964719865</v>
      </c>
      <c r="N17" s="4">
        <f t="shared" si="3"/>
        <v>2.1722425818452962E-2</v>
      </c>
      <c r="P17" s="4">
        <f t="shared" si="4"/>
        <v>-150.46810335008013</v>
      </c>
      <c r="Q17" s="4">
        <f t="shared" si="5"/>
        <v>-21.614969127086617</v>
      </c>
      <c r="R17" s="4">
        <f t="shared" si="6"/>
        <v>128.8531342229935</v>
      </c>
      <c r="T17" s="4">
        <f t="shared" si="7"/>
        <v>9.6590844754993865E-3</v>
      </c>
      <c r="W17" s="8">
        <f t="shared" si="8"/>
        <v>2.8029999999999999</v>
      </c>
      <c r="X17" s="8">
        <f t="shared" si="0"/>
        <v>0</v>
      </c>
      <c r="Y17" s="8">
        <f t="shared" si="0"/>
        <v>0</v>
      </c>
      <c r="Z17" s="8">
        <f t="shared" si="0"/>
        <v>2.8029999999999999</v>
      </c>
    </row>
    <row r="18" spans="1:26" x14ac:dyDescent="0.3">
      <c r="A18" s="4">
        <v>14</v>
      </c>
      <c r="B18" s="4">
        <v>0.51999999999999991</v>
      </c>
      <c r="C18" s="4">
        <v>-26.054396075896619</v>
      </c>
      <c r="D18" s="4">
        <v>-99.132940003831663</v>
      </c>
      <c r="E18" s="4">
        <v>5.4123186771449241</v>
      </c>
      <c r="F18" s="4">
        <v>-154.36920899008754</v>
      </c>
      <c r="G18" s="4">
        <v>-98.541928914959556</v>
      </c>
      <c r="H18" s="4">
        <v>-88.832043937343727</v>
      </c>
      <c r="I18" s="4">
        <v>-72.326783388088359</v>
      </c>
      <c r="J18" s="4">
        <v>-98.550459588076052</v>
      </c>
      <c r="L18" s="4">
        <f t="shared" si="1"/>
        <v>-98.550459588076052</v>
      </c>
      <c r="M18" s="4">
        <f t="shared" si="2"/>
        <v>-98.541928914959556</v>
      </c>
      <c r="N18" s="4">
        <f t="shared" si="3"/>
        <v>8.5306731164962457E-3</v>
      </c>
      <c r="P18" s="4">
        <f t="shared" si="4"/>
        <v>-154.36920899008754</v>
      </c>
      <c r="Q18" s="4">
        <f t="shared" si="5"/>
        <v>-26.054396075896619</v>
      </c>
      <c r="R18" s="4">
        <f t="shared" si="6"/>
        <v>128.31481291419092</v>
      </c>
      <c r="T18" s="4">
        <f t="shared" si="7"/>
        <v>3.8091593180882405E-3</v>
      </c>
      <c r="W18" s="8">
        <f t="shared" si="8"/>
        <v>2.8029999999999999</v>
      </c>
      <c r="X18" s="8">
        <f t="shared" si="0"/>
        <v>0</v>
      </c>
      <c r="Y18" s="8">
        <f t="shared" si="0"/>
        <v>0</v>
      </c>
      <c r="Z18" s="8">
        <f t="shared" si="0"/>
        <v>2.8029999999999999</v>
      </c>
    </row>
    <row r="19" spans="1:26" x14ac:dyDescent="0.3">
      <c r="A19" s="4">
        <v>15</v>
      </c>
      <c r="B19" s="4">
        <v>0.55999999999999994</v>
      </c>
      <c r="C19" s="4">
        <v>-30.540735367116156</v>
      </c>
      <c r="D19" s="4">
        <v>-92.942334501298674</v>
      </c>
      <c r="E19" s="4">
        <v>13.176600605487067</v>
      </c>
      <c r="F19" s="4">
        <v>-158.17364790936972</v>
      </c>
      <c r="G19" s="4">
        <v>-98.578139994817491</v>
      </c>
      <c r="H19" s="4">
        <v>-90.833117458634874</v>
      </c>
      <c r="I19" s="4">
        <v>-76.989613952933212</v>
      </c>
      <c r="J19" s="4">
        <v>-98.555943094341117</v>
      </c>
      <c r="L19" s="4">
        <f t="shared" si="1"/>
        <v>-98.578139994817491</v>
      </c>
      <c r="M19" s="4">
        <f t="shared" si="2"/>
        <v>-98.555943094341117</v>
      </c>
      <c r="N19" s="4">
        <f t="shared" si="3"/>
        <v>2.2196900476373571E-2</v>
      </c>
      <c r="P19" s="4">
        <f t="shared" si="4"/>
        <v>-30.540735367116156</v>
      </c>
      <c r="Q19" s="4">
        <f t="shared" si="5"/>
        <v>-158.17364790936972</v>
      </c>
      <c r="R19" s="4">
        <f t="shared" si="6"/>
        <v>127.63291254225356</v>
      </c>
      <c r="T19" s="4">
        <f t="shared" si="7"/>
        <v>9.9644259259944485E-3</v>
      </c>
      <c r="W19" s="8">
        <f t="shared" si="8"/>
        <v>2.8029999999999999</v>
      </c>
      <c r="X19" s="8">
        <f t="shared" si="0"/>
        <v>0</v>
      </c>
      <c r="Y19" s="8">
        <f t="shared" si="0"/>
        <v>0</v>
      </c>
      <c r="Z19" s="8">
        <f t="shared" si="0"/>
        <v>2.8029999999999999</v>
      </c>
    </row>
    <row r="20" spans="1:26" x14ac:dyDescent="0.3">
      <c r="A20" s="4">
        <v>16</v>
      </c>
      <c r="B20" s="4">
        <v>0.6</v>
      </c>
      <c r="C20" s="4">
        <v>-35.040950608990038</v>
      </c>
      <c r="D20" s="4">
        <v>-88.204958418022414</v>
      </c>
      <c r="E20" s="4">
        <v>19.614005972906384</v>
      </c>
      <c r="F20" s="4">
        <v>-161.86674645039869</v>
      </c>
      <c r="G20" s="4">
        <v>-98.585111614873767</v>
      </c>
      <c r="H20" s="4">
        <v>-92.194290779234095</v>
      </c>
      <c r="I20" s="4">
        <v>-81.088753673760195</v>
      </c>
      <c r="J20" s="4">
        <v>-98.511818312213379</v>
      </c>
      <c r="L20" s="4">
        <f t="shared" si="1"/>
        <v>-98.585111614873767</v>
      </c>
      <c r="M20" s="4">
        <f t="shared" si="2"/>
        <v>-98.511818312213379</v>
      </c>
      <c r="N20" s="4">
        <f t="shared" si="3"/>
        <v>7.3293302660388804E-2</v>
      </c>
      <c r="P20" s="4">
        <f t="shared" si="4"/>
        <v>-35.040950608990038</v>
      </c>
      <c r="Q20" s="4">
        <f t="shared" si="5"/>
        <v>-161.86674645039869</v>
      </c>
      <c r="R20" s="4">
        <f t="shared" si="6"/>
        <v>126.82579584140865</v>
      </c>
      <c r="T20" s="4">
        <f t="shared" si="7"/>
        <v>3.3111532347640797E-2</v>
      </c>
      <c r="W20" s="8">
        <f t="shared" si="8"/>
        <v>2.8029999999999999</v>
      </c>
      <c r="X20" s="8">
        <f t="shared" si="0"/>
        <v>0</v>
      </c>
      <c r="Y20" s="8">
        <f t="shared" si="0"/>
        <v>0</v>
      </c>
      <c r="Z20" s="8">
        <f t="shared" si="0"/>
        <v>2.8029999999999999</v>
      </c>
    </row>
    <row r="21" spans="1:26" x14ac:dyDescent="0.3">
      <c r="A21" s="4">
        <v>17</v>
      </c>
      <c r="B21" s="4">
        <v>0.64</v>
      </c>
      <c r="C21" s="4">
        <v>-39.513063495947023</v>
      </c>
      <c r="D21" s="4">
        <v>-84.921045189849892</v>
      </c>
      <c r="E21" s="4">
        <v>24.657682526323612</v>
      </c>
      <c r="F21" s="4">
        <v>-165.42462113764827</v>
      </c>
      <c r="G21" s="4">
        <v>-98.544328856142698</v>
      </c>
      <c r="H21" s="4">
        <v>-93.172906833864118</v>
      </c>
      <c r="I21" s="4">
        <v>-84.500936275146429</v>
      </c>
      <c r="J21" s="4">
        <v>-98.395988447222209</v>
      </c>
      <c r="L21" s="4">
        <f t="shared" si="1"/>
        <v>-98.544328856142698</v>
      </c>
      <c r="M21" s="4">
        <f t="shared" si="2"/>
        <v>-98.395988447222209</v>
      </c>
      <c r="N21" s="4">
        <f t="shared" si="3"/>
        <v>0.14834040892048961</v>
      </c>
      <c r="P21" s="4">
        <f t="shared" si="4"/>
        <v>-39.513063495947023</v>
      </c>
      <c r="Q21" s="4">
        <f t="shared" si="5"/>
        <v>-165.42462113764827</v>
      </c>
      <c r="R21" s="4">
        <f t="shared" si="6"/>
        <v>125.91155764170125</v>
      </c>
      <c r="T21" s="4">
        <f t="shared" si="7"/>
        <v>6.7501948107577717E-2</v>
      </c>
      <c r="W21" s="8">
        <f t="shared" si="8"/>
        <v>2.8029999999999999</v>
      </c>
      <c r="X21" s="8">
        <f t="shared" ref="X21:X84" si="9">IF((H21&lt;=SMALL($G21:$J21,2)), 2.803, 0)</f>
        <v>0</v>
      </c>
      <c r="Y21" s="8">
        <f t="shared" ref="Y21:Y84" si="10">IF((I21&lt;=SMALL($G21:$J21,2)), 2.803, 0)</f>
        <v>0</v>
      </c>
      <c r="Z21" s="8">
        <f t="shared" ref="Z21:Z84" si="11">IF((J21&lt;=SMALL($G21:$J21,2)), 2.803, 0)</f>
        <v>2.8029999999999999</v>
      </c>
    </row>
    <row r="22" spans="1:26" x14ac:dyDescent="0.3">
      <c r="A22" s="4">
        <v>18</v>
      </c>
      <c r="B22" s="4">
        <v>0.68</v>
      </c>
      <c r="C22" s="4">
        <v>-43.907028697585723</v>
      </c>
      <c r="D22" s="4">
        <v>-82.98834790942125</v>
      </c>
      <c r="E22" s="4">
        <v>28.358129320885809</v>
      </c>
      <c r="F22" s="4">
        <v>-168.81324971373905</v>
      </c>
      <c r="G22" s="4">
        <v>-98.440089607900177</v>
      </c>
      <c r="H22" s="4">
        <v>-93.944726395209614</v>
      </c>
      <c r="I22" s="4">
        <v>-87.293838580567254</v>
      </c>
      <c r="J22" s="4">
        <v>-98.187304627696179</v>
      </c>
      <c r="L22" s="4">
        <f t="shared" si="1"/>
        <v>-98.440089607900177</v>
      </c>
      <c r="M22" s="4">
        <f t="shared" si="2"/>
        <v>-98.187304627696179</v>
      </c>
      <c r="N22" s="4">
        <f t="shared" si="3"/>
        <v>0.25278498020399809</v>
      </c>
      <c r="P22" s="4">
        <f t="shared" si="4"/>
        <v>-43.907028697585723</v>
      </c>
      <c r="Q22" s="4">
        <f t="shared" si="5"/>
        <v>-168.81324971373905</v>
      </c>
      <c r="R22" s="4">
        <f t="shared" si="6"/>
        <v>124.90622101615332</v>
      </c>
      <c r="T22" s="4">
        <f t="shared" si="7"/>
        <v>0.11595493481868975</v>
      </c>
      <c r="W22" s="8">
        <f t="shared" si="8"/>
        <v>2.8029999999999999</v>
      </c>
      <c r="X22" s="8">
        <f t="shared" si="9"/>
        <v>0</v>
      </c>
      <c r="Y22" s="8">
        <f t="shared" si="10"/>
        <v>0</v>
      </c>
      <c r="Z22" s="8">
        <f t="shared" si="11"/>
        <v>2.8029999999999999</v>
      </c>
    </row>
    <row r="23" spans="1:26" x14ac:dyDescent="0.3">
      <c r="A23" s="4">
        <v>19</v>
      </c>
      <c r="B23" s="4">
        <v>0.72000000000000008</v>
      </c>
      <c r="C23" s="4">
        <v>-48.165325821848043</v>
      </c>
      <c r="D23" s="4">
        <v>-82.26053827749422</v>
      </c>
      <c r="E23" s="4">
        <v>30.813830931870001</v>
      </c>
      <c r="F23" s="4">
        <v>-171.98776093896024</v>
      </c>
      <c r="G23" s="4">
        <v>-98.261114418356556</v>
      </c>
      <c r="H23" s="4">
        <v>-94.614662749980795</v>
      </c>
      <c r="I23" s="4">
        <v>-89.57907791239505</v>
      </c>
      <c r="J23" s="4">
        <v>-97.866261997797793</v>
      </c>
      <c r="L23" s="4">
        <f t="shared" si="1"/>
        <v>-98.261114418356556</v>
      </c>
      <c r="M23" s="4">
        <f t="shared" si="2"/>
        <v>-97.866261997797793</v>
      </c>
      <c r="N23" s="4">
        <f t="shared" si="3"/>
        <v>0.39485242055876313</v>
      </c>
      <c r="P23" s="4">
        <f t="shared" si="4"/>
        <v>-48.165325821848043</v>
      </c>
      <c r="Q23" s="4">
        <f t="shared" si="5"/>
        <v>-171.98776093896024</v>
      </c>
      <c r="R23" s="4">
        <f t="shared" si="6"/>
        <v>123.82243511711219</v>
      </c>
      <c r="T23" s="4">
        <f t="shared" si="7"/>
        <v>0.18270760483103926</v>
      </c>
      <c r="W23" s="8">
        <f t="shared" si="8"/>
        <v>2.8029999999999999</v>
      </c>
      <c r="X23" s="8">
        <f t="shared" si="9"/>
        <v>0</v>
      </c>
      <c r="Y23" s="8">
        <f t="shared" si="10"/>
        <v>0</v>
      </c>
      <c r="Z23" s="8">
        <f t="shared" si="11"/>
        <v>2.8029999999999999</v>
      </c>
    </row>
    <row r="24" spans="1:26" x14ac:dyDescent="0.3">
      <c r="A24" s="4">
        <v>20</v>
      </c>
      <c r="B24" s="4">
        <v>0.76000000000000012</v>
      </c>
      <c r="C24" s="4">
        <v>-52.223066359301832</v>
      </c>
      <c r="D24" s="4">
        <v>-82.580229609872092</v>
      </c>
      <c r="E24" s="4">
        <v>32.151116156345267</v>
      </c>
      <c r="F24" s="4">
        <v>-174.89183778864205</v>
      </c>
      <c r="G24" s="4">
        <v>-98.001511981340343</v>
      </c>
      <c r="H24" s="4">
        <v>-95.235704288105126</v>
      </c>
      <c r="I24" s="4">
        <v>-91.461600403112328</v>
      </c>
      <c r="J24" s="4">
        <v>-97.415205434729927</v>
      </c>
      <c r="L24" s="4">
        <f t="shared" si="1"/>
        <v>-98.001511981340343</v>
      </c>
      <c r="M24" s="4">
        <f t="shared" si="2"/>
        <v>-97.415205434729927</v>
      </c>
      <c r="N24" s="4">
        <f t="shared" si="3"/>
        <v>0.58630654661041604</v>
      </c>
      <c r="P24" s="4">
        <f t="shared" si="4"/>
        <v>-52.223066359301832</v>
      </c>
      <c r="Q24" s="4">
        <f t="shared" si="5"/>
        <v>-174.89183778864205</v>
      </c>
      <c r="R24" s="4">
        <f t="shared" si="6"/>
        <v>122.66877142934021</v>
      </c>
      <c r="T24" s="4">
        <f t="shared" si="7"/>
        <v>0.27384830246203901</v>
      </c>
      <c r="W24" s="8">
        <f t="shared" si="8"/>
        <v>2.8029999999999999</v>
      </c>
      <c r="X24" s="8">
        <f t="shared" si="9"/>
        <v>0</v>
      </c>
      <c r="Y24" s="8">
        <f t="shared" si="10"/>
        <v>0</v>
      </c>
      <c r="Z24" s="8">
        <f t="shared" si="11"/>
        <v>2.8029999999999999</v>
      </c>
    </row>
    <row r="25" spans="1:26" x14ac:dyDescent="0.3">
      <c r="A25" s="4">
        <v>21</v>
      </c>
      <c r="B25" s="4">
        <v>0.80000000000000016</v>
      </c>
      <c r="C25" s="4">
        <v>-56.007569596897312</v>
      </c>
      <c r="D25" s="4">
        <v>-83.795396096312672</v>
      </c>
      <c r="E25" s="4">
        <v>32.508698287670242</v>
      </c>
      <c r="F25" s="4">
        <v>-177.45704372185233</v>
      </c>
      <c r="G25" s="4">
        <v>-97.661174586831947</v>
      </c>
      <c r="H25" s="4">
        <v>-95.826866905405453</v>
      </c>
      <c r="I25" s="4">
        <v>-93.023797830341181</v>
      </c>
      <c r="J25" s="4">
        <v>-96.817988843613833</v>
      </c>
      <c r="L25" s="4">
        <f t="shared" si="1"/>
        <v>-97.661174586831947</v>
      </c>
      <c r="M25" s="4">
        <f t="shared" si="2"/>
        <v>-96.817988843613833</v>
      </c>
      <c r="N25" s="4">
        <f t="shared" si="3"/>
        <v>0.84318574321811468</v>
      </c>
      <c r="P25" s="4">
        <f t="shared" si="4"/>
        <v>-56.007569596897312</v>
      </c>
      <c r="Q25" s="4">
        <f t="shared" si="5"/>
        <v>-177.45704372185233</v>
      </c>
      <c r="R25" s="4">
        <f t="shared" si="6"/>
        <v>121.44947412495502</v>
      </c>
      <c r="T25" s="4">
        <f t="shared" si="7"/>
        <v>0.39778029992632513</v>
      </c>
      <c r="W25" s="8">
        <f t="shared" si="8"/>
        <v>2.8029999999999999</v>
      </c>
      <c r="X25" s="8">
        <f t="shared" si="9"/>
        <v>0</v>
      </c>
      <c r="Y25" s="8">
        <f t="shared" si="10"/>
        <v>0</v>
      </c>
      <c r="Z25" s="8">
        <f t="shared" si="11"/>
        <v>2.8029999999999999</v>
      </c>
    </row>
    <row r="26" spans="1:26" x14ac:dyDescent="0.3">
      <c r="A26" s="4">
        <v>22</v>
      </c>
      <c r="B26" s="4">
        <v>0.84000000000000019</v>
      </c>
      <c r="C26" s="4">
        <v>-59.437485390037523</v>
      </c>
      <c r="D26" s="4">
        <v>-85.766271282066626</v>
      </c>
      <c r="E26" s="4">
        <v>32.02529702883686</v>
      </c>
      <c r="F26" s="4">
        <v>-179.60209891373134</v>
      </c>
      <c r="G26" s="4">
        <v>-97.245614899648174</v>
      </c>
      <c r="H26" s="4">
        <v>-96.387269253458328</v>
      </c>
      <c r="I26" s="4">
        <v>-94.324566587999868</v>
      </c>
      <c r="J26" s="4">
        <v>-96.058940972741567</v>
      </c>
      <c r="L26" s="4">
        <f t="shared" si="1"/>
        <v>-97.245614899648174</v>
      </c>
      <c r="M26" s="4">
        <f t="shared" si="2"/>
        <v>-96.387269253458328</v>
      </c>
      <c r="N26" s="4">
        <f t="shared" si="3"/>
        <v>0.85834564618984643</v>
      </c>
      <c r="P26" s="4">
        <f t="shared" si="4"/>
        <v>-59.437485390037523</v>
      </c>
      <c r="Q26" s="4">
        <f t="shared" si="5"/>
        <v>-85.766271282066626</v>
      </c>
      <c r="R26" s="4">
        <f t="shared" si="6"/>
        <v>26.328785892029103</v>
      </c>
      <c r="T26" s="4">
        <f t="shared" si="7"/>
        <v>1.8672403299380245</v>
      </c>
      <c r="W26" s="8">
        <f t="shared" si="8"/>
        <v>2.8029999999999999</v>
      </c>
      <c r="X26" s="8">
        <f t="shared" si="9"/>
        <v>2.8029999999999999</v>
      </c>
      <c r="Y26" s="8">
        <f t="shared" si="10"/>
        <v>0</v>
      </c>
      <c r="Z26" s="8">
        <f t="shared" si="11"/>
        <v>0</v>
      </c>
    </row>
    <row r="27" spans="1:26" x14ac:dyDescent="0.3">
      <c r="A27" s="4">
        <v>23</v>
      </c>
      <c r="B27" s="4">
        <v>0.88000000000000023</v>
      </c>
      <c r="C27" s="4">
        <v>-62.421556589649271</v>
      </c>
      <c r="D27" s="4">
        <v>-88.367282177606469</v>
      </c>
      <c r="E27" s="4">
        <v>30.831630071030304</v>
      </c>
      <c r="F27" s="4">
        <v>-181.23218662514475</v>
      </c>
      <c r="G27" s="4">
        <v>-96.765152908180795</v>
      </c>
      <c r="H27" s="4">
        <v>-96.90615854893295</v>
      </c>
      <c r="I27" s="4">
        <v>-95.404090353571021</v>
      </c>
      <c r="J27" s="4">
        <v>-95.120943122950962</v>
      </c>
      <c r="L27" s="4">
        <f t="shared" si="1"/>
        <v>-96.90615854893295</v>
      </c>
      <c r="M27" s="4">
        <f t="shared" si="2"/>
        <v>-96.765152908180795</v>
      </c>
      <c r="N27" s="4">
        <f t="shared" si="3"/>
        <v>0.14100564075215516</v>
      </c>
      <c r="P27" s="4">
        <f t="shared" si="4"/>
        <v>-88.367282177606469</v>
      </c>
      <c r="Q27" s="4">
        <f t="shared" si="5"/>
        <v>-62.421556589649271</v>
      </c>
      <c r="R27" s="4">
        <f t="shared" si="6"/>
        <v>25.945725587957199</v>
      </c>
      <c r="T27" s="4">
        <f t="shared" si="7"/>
        <v>0.31137878714658829</v>
      </c>
      <c r="W27" s="8">
        <f t="shared" si="8"/>
        <v>2.8029999999999999</v>
      </c>
      <c r="X27" s="8">
        <f t="shared" si="9"/>
        <v>2.8029999999999999</v>
      </c>
      <c r="Y27" s="8">
        <f t="shared" si="10"/>
        <v>0</v>
      </c>
      <c r="Z27" s="8">
        <f t="shared" si="11"/>
        <v>0</v>
      </c>
    </row>
    <row r="28" spans="1:26" x14ac:dyDescent="0.3">
      <c r="A28" s="4">
        <v>24</v>
      </c>
      <c r="B28" s="4">
        <v>0.92000000000000026</v>
      </c>
      <c r="C28" s="4">
        <v>-64.857141385267624</v>
      </c>
      <c r="D28" s="4">
        <v>-91.486657902527881</v>
      </c>
      <c r="E28" s="4">
        <v>29.046254130302813</v>
      </c>
      <c r="F28" s="4">
        <v>-182.2385626410726</v>
      </c>
      <c r="G28" s="4">
        <v>-96.233216252784999</v>
      </c>
      <c r="H28" s="4">
        <v>-97.369624883966523</v>
      </c>
      <c r="I28" s="4">
        <v>-96.289815179749382</v>
      </c>
      <c r="J28" s="4">
        <v>-93.982384849350566</v>
      </c>
      <c r="L28" s="4">
        <f t="shared" si="1"/>
        <v>-97.369624883966523</v>
      </c>
      <c r="M28" s="4">
        <f t="shared" si="2"/>
        <v>-96.289815179749382</v>
      </c>
      <c r="N28" s="4">
        <f t="shared" si="3"/>
        <v>1.0798097042171406</v>
      </c>
      <c r="P28" s="4">
        <f t="shared" si="4"/>
        <v>-91.486657902527881</v>
      </c>
      <c r="Q28" s="4">
        <f t="shared" si="5"/>
        <v>29.046254130302813</v>
      </c>
      <c r="R28" s="4">
        <f t="shared" si="6"/>
        <v>120.53291203283069</v>
      </c>
      <c r="T28" s="4">
        <f t="shared" si="7"/>
        <v>0.51327793078708084</v>
      </c>
      <c r="W28" s="8">
        <f t="shared" si="8"/>
        <v>0</v>
      </c>
      <c r="X28" s="8">
        <f t="shared" si="9"/>
        <v>2.8029999999999999</v>
      </c>
      <c r="Y28" s="8">
        <f t="shared" si="10"/>
        <v>2.8029999999999999</v>
      </c>
      <c r="Z28" s="8">
        <f t="shared" si="11"/>
        <v>0</v>
      </c>
    </row>
    <row r="29" spans="1:26" x14ac:dyDescent="0.3">
      <c r="A29" s="4">
        <v>25</v>
      </c>
      <c r="B29" s="4">
        <v>0.9600000000000003</v>
      </c>
      <c r="C29" s="4">
        <v>-66.628695646763575</v>
      </c>
      <c r="D29" s="4">
        <v>-95.025116833592264</v>
      </c>
      <c r="E29" s="4">
        <v>26.773990415701249</v>
      </c>
      <c r="F29" s="4">
        <v>-182.49900175711974</v>
      </c>
      <c r="G29" s="4">
        <v>-95.663348862642778</v>
      </c>
      <c r="H29" s="4">
        <v>-97.764877746379568</v>
      </c>
      <c r="I29" s="4">
        <v>-97.001706254275874</v>
      </c>
      <c r="J29" s="4">
        <v>-92.612816732320624</v>
      </c>
      <c r="L29" s="4">
        <f t="shared" si="1"/>
        <v>-97.764877746379568</v>
      </c>
      <c r="M29" s="4">
        <f t="shared" si="2"/>
        <v>-97.001706254275874</v>
      </c>
      <c r="N29" s="4">
        <f t="shared" si="3"/>
        <v>0.7631714921036945</v>
      </c>
      <c r="P29" s="4">
        <f t="shared" si="4"/>
        <v>-95.025116833592264</v>
      </c>
      <c r="Q29" s="4">
        <f t="shared" si="5"/>
        <v>26.773990415701249</v>
      </c>
      <c r="R29" s="4">
        <f t="shared" si="6"/>
        <v>121.79910724929351</v>
      </c>
      <c r="T29" s="4">
        <f t="shared" si="7"/>
        <v>0.35900044180469498</v>
      </c>
      <c r="W29" s="8">
        <f t="shared" si="8"/>
        <v>0</v>
      </c>
      <c r="X29" s="8">
        <f t="shared" si="9"/>
        <v>2.8029999999999999</v>
      </c>
      <c r="Y29" s="8">
        <f t="shared" si="10"/>
        <v>2.8029999999999999</v>
      </c>
      <c r="Z29" s="8">
        <f t="shared" si="11"/>
        <v>0</v>
      </c>
    </row>
    <row r="30" spans="1:26" x14ac:dyDescent="0.3">
      <c r="A30" s="4">
        <v>26</v>
      </c>
      <c r="B30" s="4">
        <v>1.0000000000000002</v>
      </c>
      <c r="C30" s="4">
        <v>-67.606625987710032</v>
      </c>
      <c r="D30" s="4">
        <v>-98.89433107291751</v>
      </c>
      <c r="E30" s="4">
        <v>24.105786909501319</v>
      </c>
      <c r="F30" s="4">
        <v>-181.87996992861181</v>
      </c>
      <c r="G30" s="4">
        <v>-95.064331112538653</v>
      </c>
      <c r="H30" s="4">
        <v>-98.082822230964737</v>
      </c>
      <c r="I30" s="4">
        <v>-97.556220007629577</v>
      </c>
      <c r="J30" s="4">
        <v>-90.967394163957522</v>
      </c>
      <c r="L30" s="4">
        <f t="shared" si="1"/>
        <v>-98.082822230964737</v>
      </c>
      <c r="M30" s="4">
        <f t="shared" si="2"/>
        <v>-97.556220007629577</v>
      </c>
      <c r="N30" s="4">
        <f t="shared" si="3"/>
        <v>0.5266022233351606</v>
      </c>
      <c r="P30" s="4">
        <f t="shared" si="4"/>
        <v>-98.89433107291751</v>
      </c>
      <c r="Q30" s="4">
        <f t="shared" si="5"/>
        <v>24.105786909501319</v>
      </c>
      <c r="R30" s="4">
        <f t="shared" si="6"/>
        <v>123.00011798241883</v>
      </c>
      <c r="T30" s="4">
        <f t="shared" si="7"/>
        <v>0.24529976904305742</v>
      </c>
      <c r="W30" s="8">
        <f t="shared" si="8"/>
        <v>0</v>
      </c>
      <c r="X30" s="8">
        <f t="shared" si="9"/>
        <v>2.8029999999999999</v>
      </c>
      <c r="Y30" s="8">
        <f t="shared" si="10"/>
        <v>2.8029999999999999</v>
      </c>
      <c r="Z30" s="8">
        <f t="shared" si="11"/>
        <v>0</v>
      </c>
    </row>
    <row r="31" spans="1:26" x14ac:dyDescent="0.3">
      <c r="A31" s="4">
        <v>27</v>
      </c>
      <c r="B31" s="4">
        <v>1.0400000000000003</v>
      </c>
      <c r="C31" s="4">
        <v>-67.64736908211664</v>
      </c>
      <c r="D31" s="4">
        <v>-103.01550130720963</v>
      </c>
      <c r="E31" s="4">
        <v>21.119234924235514</v>
      </c>
      <c r="F31" s="4">
        <v>-180.24174804006196</v>
      </c>
      <c r="G31" s="4">
        <v>-94.432624074282188</v>
      </c>
      <c r="H31" s="4">
        <v>-98.319476033690933</v>
      </c>
      <c r="I31" s="4">
        <v>-97.969009539315721</v>
      </c>
      <c r="J31" s="4">
        <v>-88.980960043244352</v>
      </c>
      <c r="L31" s="4">
        <f t="shared" si="1"/>
        <v>-98.319476033690933</v>
      </c>
      <c r="M31" s="4">
        <f t="shared" si="2"/>
        <v>-97.969009539315721</v>
      </c>
      <c r="N31" s="4">
        <f t="shared" si="3"/>
        <v>0.35046649437521182</v>
      </c>
      <c r="P31" s="4">
        <f t="shared" si="4"/>
        <v>-103.01550130720963</v>
      </c>
      <c r="Q31" s="4">
        <f t="shared" si="5"/>
        <v>21.119234924235514</v>
      </c>
      <c r="R31" s="4">
        <f t="shared" si="6"/>
        <v>124.13473623144515</v>
      </c>
      <c r="T31" s="4">
        <f t="shared" si="7"/>
        <v>0.16176131070055236</v>
      </c>
      <c r="W31" s="8">
        <f t="shared" si="8"/>
        <v>0</v>
      </c>
      <c r="X31" s="8">
        <f t="shared" si="9"/>
        <v>2.8029999999999999</v>
      </c>
      <c r="Y31" s="8">
        <f t="shared" si="10"/>
        <v>2.8029999999999999</v>
      </c>
      <c r="Z31" s="8">
        <f t="shared" si="11"/>
        <v>0</v>
      </c>
    </row>
    <row r="32" spans="1:26" x14ac:dyDescent="0.3">
      <c r="A32" s="4">
        <v>28</v>
      </c>
      <c r="B32" s="4">
        <v>1.0800000000000003</v>
      </c>
      <c r="C32" s="4">
        <v>-66.596385968663014</v>
      </c>
      <c r="D32" s="4">
        <v>-107.31820989343629</v>
      </c>
      <c r="E32" s="4">
        <v>17.879290275891591</v>
      </c>
      <c r="F32" s="4">
        <v>-177.4476827840727</v>
      </c>
      <c r="G32" s="4">
        <v>-93.741260088445728</v>
      </c>
      <c r="H32" s="4">
        <v>-98.476582342464539</v>
      </c>
      <c r="I32" s="4">
        <v>-98.256573907171102</v>
      </c>
      <c r="J32" s="4">
        <v>-86.564260023485701</v>
      </c>
      <c r="L32" s="4">
        <f t="shared" si="1"/>
        <v>-98.476582342464539</v>
      </c>
      <c r="M32" s="4">
        <f t="shared" si="2"/>
        <v>-98.256573907171102</v>
      </c>
      <c r="N32" s="4">
        <f t="shared" si="3"/>
        <v>0.22000843529343683</v>
      </c>
      <c r="P32" s="4">
        <f t="shared" si="4"/>
        <v>-107.31820989343629</v>
      </c>
      <c r="Q32" s="4">
        <f t="shared" si="5"/>
        <v>17.879290275891591</v>
      </c>
      <c r="R32" s="4">
        <f t="shared" si="6"/>
        <v>125.19750016932788</v>
      </c>
      <c r="T32" s="4">
        <f t="shared" si="7"/>
        <v>0.10068525175780639</v>
      </c>
      <c r="W32" s="8">
        <f t="shared" si="8"/>
        <v>0</v>
      </c>
      <c r="X32" s="8">
        <f t="shared" si="9"/>
        <v>2.8029999999999999</v>
      </c>
      <c r="Y32" s="8">
        <f t="shared" si="10"/>
        <v>2.8029999999999999</v>
      </c>
      <c r="Z32" s="8">
        <f t="shared" si="11"/>
        <v>0</v>
      </c>
    </row>
    <row r="33" spans="1:26" x14ac:dyDescent="0.3">
      <c r="A33" s="4">
        <v>29</v>
      </c>
      <c r="B33" s="4">
        <v>1.1200000000000003</v>
      </c>
      <c r="C33" s="4">
        <v>-64.297177549663985</v>
      </c>
      <c r="D33" s="4">
        <v>-111.73966236991893</v>
      </c>
      <c r="E33" s="4">
        <v>14.438985282872139</v>
      </c>
      <c r="F33" s="4">
        <v>-173.37763885475835</v>
      </c>
      <c r="G33" s="4">
        <v>-92.924587039028495</v>
      </c>
      <c r="H33" s="4">
        <v>-98.561612178538581</v>
      </c>
      <c r="I33" s="4">
        <v>-98.437079985874448</v>
      </c>
      <c r="J33" s="4">
        <v>-83.607876749634769</v>
      </c>
      <c r="L33" s="4">
        <f t="shared" si="1"/>
        <v>-98.561612178538581</v>
      </c>
      <c r="M33" s="4">
        <f t="shared" si="2"/>
        <v>-98.437079985874448</v>
      </c>
      <c r="N33" s="4">
        <f t="shared" si="3"/>
        <v>0.12453219266413385</v>
      </c>
      <c r="P33" s="4">
        <f t="shared" si="4"/>
        <v>-111.73966236991893</v>
      </c>
      <c r="Q33" s="4">
        <f t="shared" si="5"/>
        <v>14.438985282872139</v>
      </c>
      <c r="R33" s="4">
        <f t="shared" si="6"/>
        <v>126.17864765279107</v>
      </c>
      <c r="T33" s="4">
        <f t="shared" si="7"/>
        <v>5.6548131313587616E-2</v>
      </c>
      <c r="W33" s="8">
        <f t="shared" si="8"/>
        <v>0</v>
      </c>
      <c r="X33" s="8">
        <f t="shared" si="9"/>
        <v>2.8029999999999999</v>
      </c>
      <c r="Y33" s="8">
        <f t="shared" si="10"/>
        <v>2.8029999999999999</v>
      </c>
      <c r="Z33" s="8">
        <f t="shared" si="11"/>
        <v>0</v>
      </c>
    </row>
    <row r="34" spans="1:26" x14ac:dyDescent="0.3">
      <c r="A34" s="4">
        <v>30</v>
      </c>
      <c r="B34" s="4">
        <v>1.1600000000000004</v>
      </c>
      <c r="C34" s="4">
        <v>-60.611555606828155</v>
      </c>
      <c r="D34" s="4">
        <v>-116.22440837351273</v>
      </c>
      <c r="E34" s="4">
        <v>10.840072533385637</v>
      </c>
      <c r="F34" s="4">
        <v>-167.9440540257778</v>
      </c>
      <c r="G34" s="4">
        <v>-91.859562956480673</v>
      </c>
      <c r="H34" s="4">
        <v>-98.587213959170526</v>
      </c>
      <c r="I34" s="4">
        <v>-98.530538670818771</v>
      </c>
      <c r="J34" s="4">
        <v>-80.005099403277711</v>
      </c>
      <c r="L34" s="4">
        <f t="shared" si="1"/>
        <v>-98.587213959170526</v>
      </c>
      <c r="M34" s="4">
        <f t="shared" si="2"/>
        <v>-98.530538670818771</v>
      </c>
      <c r="N34" s="4">
        <f t="shared" si="3"/>
        <v>5.6675288351755171E-2</v>
      </c>
      <c r="P34" s="4">
        <f t="shared" si="4"/>
        <v>-116.22440837351273</v>
      </c>
      <c r="Q34" s="4">
        <f t="shared" si="5"/>
        <v>10.840072533385637</v>
      </c>
      <c r="R34" s="4">
        <f t="shared" si="6"/>
        <v>127.06448090689837</v>
      </c>
      <c r="T34" s="4">
        <f t="shared" si="7"/>
        <v>2.5555958570964599E-2</v>
      </c>
      <c r="W34" s="8">
        <f t="shared" si="8"/>
        <v>0</v>
      </c>
      <c r="X34" s="8">
        <f t="shared" si="9"/>
        <v>2.8029999999999999</v>
      </c>
      <c r="Y34" s="8">
        <f t="shared" si="10"/>
        <v>2.8029999999999999</v>
      </c>
      <c r="Z34" s="8">
        <f t="shared" si="11"/>
        <v>0</v>
      </c>
    </row>
    <row r="35" spans="1:26" x14ac:dyDescent="0.3">
      <c r="A35" s="4">
        <v>31</v>
      </c>
      <c r="B35" s="4">
        <v>1.2000000000000004</v>
      </c>
      <c r="C35" s="4">
        <v>-55.458890768912035</v>
      </c>
      <c r="D35" s="4">
        <v>-120.72459385894003</v>
      </c>
      <c r="E35" s="4">
        <v>7.1136500194926384</v>
      </c>
      <c r="F35" s="4">
        <v>-161.11731337591326</v>
      </c>
      <c r="G35" s="4">
        <v>-90.347814300809247</v>
      </c>
      <c r="H35" s="4">
        <v>-98.570071941045015</v>
      </c>
      <c r="I35" s="4">
        <v>-98.5584539012915</v>
      </c>
      <c r="J35" s="4">
        <v>-75.719705541842259</v>
      </c>
      <c r="L35" s="4">
        <f t="shared" si="1"/>
        <v>-98.570071941045015</v>
      </c>
      <c r="M35" s="4">
        <f t="shared" si="2"/>
        <v>-98.5584539012915</v>
      </c>
      <c r="N35" s="4">
        <f t="shared" si="3"/>
        <v>1.1618039753514608E-2</v>
      </c>
      <c r="P35" s="4">
        <f t="shared" si="4"/>
        <v>-120.72459385894003</v>
      </c>
      <c r="Q35" s="4">
        <f t="shared" si="5"/>
        <v>7.1136500194926384</v>
      </c>
      <c r="R35" s="4">
        <f t="shared" si="6"/>
        <v>127.83824387843266</v>
      </c>
      <c r="T35" s="4">
        <f t="shared" si="7"/>
        <v>5.2070853139375472E-3</v>
      </c>
      <c r="W35" s="8">
        <f t="shared" si="8"/>
        <v>0</v>
      </c>
      <c r="X35" s="8">
        <f t="shared" si="9"/>
        <v>2.8029999999999999</v>
      </c>
      <c r="Y35" s="8">
        <f t="shared" si="10"/>
        <v>2.8029999999999999</v>
      </c>
      <c r="Z35" s="8">
        <f t="shared" si="11"/>
        <v>0</v>
      </c>
    </row>
    <row r="36" spans="1:26" x14ac:dyDescent="0.3">
      <c r="A36" s="4">
        <v>32</v>
      </c>
      <c r="B36" s="4">
        <v>1.2400000000000004</v>
      </c>
      <c r="C36" s="4">
        <v>-48.883087614443156</v>
      </c>
      <c r="D36" s="4">
        <v>-125.20066603204771</v>
      </c>
      <c r="E36" s="4">
        <v>3.2808961795338973</v>
      </c>
      <c r="F36" s="4">
        <v>-153.03582249771617</v>
      </c>
      <c r="G36" s="4">
        <v>-88.110350223530233</v>
      </c>
      <c r="H36" s="4">
        <v>-98.529114811330004</v>
      </c>
      <c r="I36" s="4">
        <v>-98.543007319602751</v>
      </c>
      <c r="J36" s="4">
        <v>-70.989172188932685</v>
      </c>
      <c r="L36" s="4">
        <f t="shared" si="1"/>
        <v>-98.543007319602751</v>
      </c>
      <c r="M36" s="4">
        <f t="shared" si="2"/>
        <v>-98.529114811330004</v>
      </c>
      <c r="N36" s="4">
        <f t="shared" si="3"/>
        <v>1.3892508272746795E-2</v>
      </c>
      <c r="P36" s="4">
        <f t="shared" si="4"/>
        <v>3.2808961795338973</v>
      </c>
      <c r="Q36" s="4">
        <f t="shared" si="5"/>
        <v>-125.20066603204771</v>
      </c>
      <c r="R36" s="4">
        <f t="shared" si="6"/>
        <v>128.4815622115816</v>
      </c>
      <c r="T36" s="4">
        <f t="shared" si="7"/>
        <v>6.1953020657237812E-3</v>
      </c>
      <c r="W36" s="8">
        <f t="shared" si="8"/>
        <v>0</v>
      </c>
      <c r="X36" s="8">
        <f t="shared" si="9"/>
        <v>2.8029999999999999</v>
      </c>
      <c r="Y36" s="8">
        <f t="shared" si="10"/>
        <v>2.8029999999999999</v>
      </c>
      <c r="Z36" s="8">
        <f t="shared" si="11"/>
        <v>0</v>
      </c>
    </row>
    <row r="37" spans="1:26" x14ac:dyDescent="0.3">
      <c r="A37" s="4">
        <v>33</v>
      </c>
      <c r="B37" s="4">
        <v>1.2800000000000005</v>
      </c>
      <c r="C37" s="4">
        <v>-41.149867965509877</v>
      </c>
      <c r="D37" s="4">
        <v>-129.6222506372435</v>
      </c>
      <c r="E37" s="4">
        <v>-0.64587560585246706</v>
      </c>
      <c r="F37" s="4">
        <v>-144.43171766570828</v>
      </c>
      <c r="G37" s="4">
        <v>-84.821114838929262</v>
      </c>
      <c r="H37" s="4">
        <v>-98.483121639921947</v>
      </c>
      <c r="I37" s="4">
        <v>-98.505811340208339</v>
      </c>
      <c r="J37" s="4">
        <v>-66.948799291270987</v>
      </c>
      <c r="L37" s="4">
        <f t="shared" si="1"/>
        <v>-98.505811340208339</v>
      </c>
      <c r="M37" s="4">
        <f t="shared" si="2"/>
        <v>-98.483121639921947</v>
      </c>
      <c r="N37" s="4">
        <f t="shared" si="3"/>
        <v>2.2689700286392167E-2</v>
      </c>
      <c r="P37" s="4">
        <f t="shared" si="4"/>
        <v>-0.64587560585246706</v>
      </c>
      <c r="Q37" s="4">
        <f t="shared" si="5"/>
        <v>-129.6222506372435</v>
      </c>
      <c r="R37" s="4">
        <f t="shared" si="6"/>
        <v>128.97637503139103</v>
      </c>
      <c r="T37" s="4">
        <f t="shared" si="7"/>
        <v>1.0079551786902438E-2</v>
      </c>
      <c r="W37" s="8">
        <f t="shared" si="8"/>
        <v>0</v>
      </c>
      <c r="X37" s="8">
        <f t="shared" si="9"/>
        <v>2.8029999999999999</v>
      </c>
      <c r="Y37" s="8">
        <f t="shared" si="10"/>
        <v>2.8029999999999999</v>
      </c>
      <c r="Z37" s="8">
        <f t="shared" si="11"/>
        <v>0</v>
      </c>
    </row>
    <row r="38" spans="1:26" x14ac:dyDescent="0.3">
      <c r="A38" s="4">
        <v>34</v>
      </c>
      <c r="B38" s="4">
        <v>1.3200000000000005</v>
      </c>
      <c r="C38" s="4">
        <v>-32.848371159578036</v>
      </c>
      <c r="D38" s="4">
        <v>-133.96867135327145</v>
      </c>
      <c r="E38" s="4">
        <v>-4.6616067011367903</v>
      </c>
      <c r="F38" s="4">
        <v>-136.8185710865971</v>
      </c>
      <c r="G38" s="4">
        <v>-80.230015560273728</v>
      </c>
      <c r="H38" s="4">
        <v>-98.447997045289554</v>
      </c>
      <c r="I38" s="4">
        <v>-98.466277805576311</v>
      </c>
      <c r="J38" s="4">
        <v>-66.276513969267398</v>
      </c>
      <c r="L38" s="4">
        <f t="shared" si="1"/>
        <v>-98.466277805576311</v>
      </c>
      <c r="M38" s="4">
        <f t="shared" si="2"/>
        <v>-98.447997045289554</v>
      </c>
      <c r="N38" s="4">
        <f t="shared" si="3"/>
        <v>1.8280760286756959E-2</v>
      </c>
      <c r="P38" s="4">
        <f t="shared" si="4"/>
        <v>-4.6616067011367903</v>
      </c>
      <c r="Q38" s="4">
        <f t="shared" si="5"/>
        <v>-133.96867135327145</v>
      </c>
      <c r="R38" s="4">
        <f t="shared" si="6"/>
        <v>129.30706465213467</v>
      </c>
      <c r="T38" s="4">
        <f t="shared" si="7"/>
        <v>8.1001792636865629E-3</v>
      </c>
      <c r="W38" s="8">
        <f t="shared" si="8"/>
        <v>0</v>
      </c>
      <c r="X38" s="8">
        <f t="shared" si="9"/>
        <v>2.8029999999999999</v>
      </c>
      <c r="Y38" s="8">
        <f t="shared" si="10"/>
        <v>2.8029999999999999</v>
      </c>
      <c r="Z38" s="8">
        <f t="shared" si="11"/>
        <v>0</v>
      </c>
    </row>
    <row r="39" spans="1:26" x14ac:dyDescent="0.3">
      <c r="A39" s="4">
        <v>35</v>
      </c>
      <c r="B39" s="4">
        <v>1.3600000000000005</v>
      </c>
      <c r="C39" s="4">
        <v>-24.874843060534289</v>
      </c>
      <c r="D39" s="4">
        <v>-138.22851062287776</v>
      </c>
      <c r="E39" s="4">
        <v>-8.7661241607029297</v>
      </c>
      <c r="F39" s="4">
        <v>-130.22120457380461</v>
      </c>
      <c r="G39" s="4">
        <v>-74.475484110962455</v>
      </c>
      <c r="H39" s="4">
        <v>-98.434241300781238</v>
      </c>
      <c r="I39" s="4">
        <v>-98.439740270250923</v>
      </c>
      <c r="J39" s="4">
        <v>-70.227256566085742</v>
      </c>
      <c r="L39" s="4">
        <f t="shared" si="1"/>
        <v>-98.439740270250923</v>
      </c>
      <c r="M39" s="4">
        <f t="shared" si="2"/>
        <v>-98.434241300781238</v>
      </c>
      <c r="N39" s="4">
        <f t="shared" si="3"/>
        <v>5.4989694696843117E-3</v>
      </c>
      <c r="P39" s="4">
        <f t="shared" si="4"/>
        <v>-8.7661241607029297</v>
      </c>
      <c r="Q39" s="4">
        <f t="shared" si="5"/>
        <v>-138.22851062287776</v>
      </c>
      <c r="R39" s="4">
        <f t="shared" si="6"/>
        <v>129.46238646217483</v>
      </c>
      <c r="T39" s="4">
        <f t="shared" si="7"/>
        <v>2.4336623995941829E-3</v>
      </c>
      <c r="W39" s="8">
        <f t="shared" si="8"/>
        <v>0</v>
      </c>
      <c r="X39" s="8">
        <f t="shared" si="9"/>
        <v>2.8029999999999999</v>
      </c>
      <c r="Y39" s="8">
        <f t="shared" si="10"/>
        <v>2.8029999999999999</v>
      </c>
      <c r="Z39" s="8">
        <f t="shared" si="11"/>
        <v>0</v>
      </c>
    </row>
    <row r="40" spans="1:26" x14ac:dyDescent="0.3">
      <c r="A40" s="4">
        <v>36</v>
      </c>
      <c r="B40" s="4">
        <v>1.4000000000000006</v>
      </c>
      <c r="C40" s="4">
        <v>-17.918205973785604</v>
      </c>
      <c r="D40" s="4">
        <v>-142.39783975759241</v>
      </c>
      <c r="E40" s="4">
        <v>-12.960992314772206</v>
      </c>
      <c r="F40" s="4">
        <v>-122.9695817963116</v>
      </c>
      <c r="G40" s="4">
        <v>-68.765974396496347</v>
      </c>
      <c r="H40" s="4">
        <v>-98.445221565329945</v>
      </c>
      <c r="I40" s="4">
        <v>-98.435613229671787</v>
      </c>
      <c r="J40" s="4">
        <v>-76.172007777202879</v>
      </c>
      <c r="L40" s="4">
        <f t="shared" si="1"/>
        <v>-98.445221565329945</v>
      </c>
      <c r="M40" s="4">
        <f t="shared" si="2"/>
        <v>-98.435613229671787</v>
      </c>
      <c r="N40" s="4">
        <f t="shared" si="3"/>
        <v>9.6083356581573298E-3</v>
      </c>
      <c r="P40" s="4">
        <f t="shared" si="4"/>
        <v>-142.39783975759241</v>
      </c>
      <c r="Q40" s="4">
        <f t="shared" si="5"/>
        <v>-12.960992314772206</v>
      </c>
      <c r="R40" s="4">
        <f t="shared" si="6"/>
        <v>129.43684744282021</v>
      </c>
      <c r="T40" s="4">
        <f t="shared" si="7"/>
        <v>4.2531712663156519E-3</v>
      </c>
      <c r="W40" s="8">
        <f t="shared" si="8"/>
        <v>0</v>
      </c>
      <c r="X40" s="8">
        <f t="shared" si="9"/>
        <v>2.8029999999999999</v>
      </c>
      <c r="Y40" s="8">
        <f t="shared" si="10"/>
        <v>2.8029999999999999</v>
      </c>
      <c r="Z40" s="8">
        <f t="shared" si="11"/>
        <v>0</v>
      </c>
    </row>
    <row r="41" spans="1:26" x14ac:dyDescent="0.3">
      <c r="A41" s="4">
        <v>37</v>
      </c>
      <c r="B41" s="4">
        <v>1.4400000000000006</v>
      </c>
      <c r="C41" s="4">
        <v>-11.199887252368228</v>
      </c>
      <c r="D41" s="4">
        <v>-146.47722673820593</v>
      </c>
      <c r="E41" s="4">
        <v>-17.245866803769815</v>
      </c>
      <c r="F41" s="4">
        <v>-114.80661761755559</v>
      </c>
      <c r="G41" s="4">
        <v>-65.966313398953233</v>
      </c>
      <c r="H41" s="4">
        <v>-98.476654299226254</v>
      </c>
      <c r="I41" s="4">
        <v>-98.456050854827467</v>
      </c>
      <c r="J41" s="4">
        <v>-81.657662579493689</v>
      </c>
      <c r="L41" s="4">
        <f t="shared" si="1"/>
        <v>-98.476654299226254</v>
      </c>
      <c r="M41" s="4">
        <f t="shared" si="2"/>
        <v>-98.456050854827467</v>
      </c>
      <c r="N41" s="4">
        <f t="shared" si="3"/>
        <v>2.0603444398787474E-2</v>
      </c>
      <c r="P41" s="4">
        <f t="shared" si="4"/>
        <v>-146.47722673820593</v>
      </c>
      <c r="Q41" s="4">
        <f t="shared" si="5"/>
        <v>-17.245866803769815</v>
      </c>
      <c r="R41" s="4">
        <f t="shared" si="6"/>
        <v>129.23135993443611</v>
      </c>
      <c r="T41" s="4">
        <f t="shared" si="7"/>
        <v>9.1347053693463156E-3</v>
      </c>
      <c r="W41" s="8">
        <f t="shared" si="8"/>
        <v>0</v>
      </c>
      <c r="X41" s="8">
        <f t="shared" si="9"/>
        <v>2.8029999999999999</v>
      </c>
      <c r="Y41" s="8">
        <f t="shared" si="10"/>
        <v>2.8029999999999999</v>
      </c>
      <c r="Z41" s="8">
        <f t="shared" si="11"/>
        <v>0</v>
      </c>
    </row>
    <row r="42" spans="1:26" x14ac:dyDescent="0.3">
      <c r="A42" s="4">
        <v>38</v>
      </c>
      <c r="B42" s="4">
        <v>1.4800000000000006</v>
      </c>
      <c r="C42" s="4">
        <v>-3.1792131662687098</v>
      </c>
      <c r="D42" s="4">
        <v>-150.46810335008004</v>
      </c>
      <c r="E42" s="4">
        <v>-21.614969127085914</v>
      </c>
      <c r="F42" s="4">
        <v>-106.58458413116831</v>
      </c>
      <c r="G42" s="4">
        <v>-67.882662827470142</v>
      </c>
      <c r="H42" s="4">
        <v>-98.517292073018439</v>
      </c>
      <c r="I42" s="4">
        <v>-98.495569647199162</v>
      </c>
      <c r="J42" s="4">
        <v>-85.870965633649774</v>
      </c>
      <c r="L42" s="4">
        <f t="shared" si="1"/>
        <v>-98.517292073018439</v>
      </c>
      <c r="M42" s="4">
        <f t="shared" si="2"/>
        <v>-98.495569647199162</v>
      </c>
      <c r="N42" s="4">
        <f t="shared" si="3"/>
        <v>2.1722425819277191E-2</v>
      </c>
      <c r="P42" s="4">
        <f t="shared" si="4"/>
        <v>-150.46810335008004</v>
      </c>
      <c r="Q42" s="4">
        <f t="shared" si="5"/>
        <v>-21.614969127085914</v>
      </c>
      <c r="R42" s="4">
        <f t="shared" si="6"/>
        <v>128.85313422299413</v>
      </c>
      <c r="T42" s="4">
        <f t="shared" si="7"/>
        <v>9.6590844758658416E-3</v>
      </c>
      <c r="W42" s="8">
        <f t="shared" si="8"/>
        <v>0</v>
      </c>
      <c r="X42" s="8">
        <f t="shared" si="9"/>
        <v>2.8029999999999999</v>
      </c>
      <c r="Y42" s="8">
        <f t="shared" si="10"/>
        <v>2.8029999999999999</v>
      </c>
      <c r="Z42" s="8">
        <f t="shared" si="11"/>
        <v>0</v>
      </c>
    </row>
    <row r="43" spans="1:26" x14ac:dyDescent="0.3">
      <c r="A43" s="4">
        <v>39</v>
      </c>
      <c r="B43" s="4">
        <v>1.5200000000000007</v>
      </c>
      <c r="C43" s="4">
        <v>5.4123186771354028</v>
      </c>
      <c r="D43" s="4">
        <v>-154.36920899008615</v>
      </c>
      <c r="E43" s="4">
        <v>-26.054396075894047</v>
      </c>
      <c r="F43" s="4">
        <v>-99.132940003828764</v>
      </c>
      <c r="G43" s="4">
        <v>-72.326783388086881</v>
      </c>
      <c r="H43" s="4">
        <v>-98.550459588077146</v>
      </c>
      <c r="I43" s="4">
        <v>-98.541928914959968</v>
      </c>
      <c r="J43" s="4">
        <v>-88.832043937344309</v>
      </c>
      <c r="L43" s="4">
        <f t="shared" si="1"/>
        <v>-98.550459588077146</v>
      </c>
      <c r="M43" s="4">
        <f t="shared" si="2"/>
        <v>-98.541928914959968</v>
      </c>
      <c r="N43" s="4">
        <f t="shared" si="3"/>
        <v>8.5306731171783667E-3</v>
      </c>
      <c r="P43" s="4">
        <f t="shared" si="4"/>
        <v>-154.36920899008615</v>
      </c>
      <c r="Q43" s="4">
        <f t="shared" si="5"/>
        <v>-26.054396075894047</v>
      </c>
      <c r="R43" s="4">
        <f t="shared" si="6"/>
        <v>128.31481291419209</v>
      </c>
      <c r="T43" s="4">
        <f t="shared" si="7"/>
        <v>3.8091593183927903E-3</v>
      </c>
      <c r="W43" s="8">
        <f t="shared" si="8"/>
        <v>0</v>
      </c>
      <c r="X43" s="8">
        <f t="shared" si="9"/>
        <v>2.8029999999999999</v>
      </c>
      <c r="Y43" s="8">
        <f t="shared" si="10"/>
        <v>2.8029999999999999</v>
      </c>
      <c r="Z43" s="8">
        <f t="shared" si="11"/>
        <v>0</v>
      </c>
    </row>
    <row r="44" spans="1:26" x14ac:dyDescent="0.3">
      <c r="A44" s="4">
        <v>40</v>
      </c>
      <c r="B44" s="4">
        <v>1.5600000000000007</v>
      </c>
      <c r="C44" s="4">
        <v>13.176601834880216</v>
      </c>
      <c r="D44" s="4">
        <v>-158.17364826326551</v>
      </c>
      <c r="E44" s="4">
        <v>-30.540735956991455</v>
      </c>
      <c r="F44" s="4">
        <v>-92.942335620912928</v>
      </c>
      <c r="G44" s="4">
        <v>-76.989612330642075</v>
      </c>
      <c r="H44" s="4">
        <v>-98.555942438184232</v>
      </c>
      <c r="I44" s="4">
        <v>-98.578139596733507</v>
      </c>
      <c r="J44" s="4">
        <v>-90.833116652599443</v>
      </c>
      <c r="L44" s="4">
        <f t="shared" si="1"/>
        <v>-98.578139596733507</v>
      </c>
      <c r="M44" s="4">
        <f t="shared" si="2"/>
        <v>-98.555942438184232</v>
      </c>
      <c r="N44" s="4">
        <f t="shared" si="3"/>
        <v>2.2197158549275287E-2</v>
      </c>
      <c r="P44" s="4">
        <f t="shared" si="4"/>
        <v>-30.540735956991455</v>
      </c>
      <c r="Q44" s="4">
        <f t="shared" si="5"/>
        <v>-158.17364826326551</v>
      </c>
      <c r="R44" s="4">
        <f t="shared" si="6"/>
        <v>127.63291230627405</v>
      </c>
      <c r="T44" s="4">
        <f t="shared" si="7"/>
        <v>9.9645417961000578E-3</v>
      </c>
      <c r="W44" s="8">
        <f t="shared" si="8"/>
        <v>0</v>
      </c>
      <c r="X44" s="8">
        <f t="shared" si="9"/>
        <v>2.8029999999999999</v>
      </c>
      <c r="Y44" s="8">
        <f t="shared" si="10"/>
        <v>2.8029999999999999</v>
      </c>
      <c r="Z44" s="8">
        <f t="shared" si="11"/>
        <v>0</v>
      </c>
    </row>
    <row r="45" spans="1:26" x14ac:dyDescent="0.3">
      <c r="A45" s="4">
        <v>41</v>
      </c>
      <c r="B45" s="4">
        <v>1.6000000000000008</v>
      </c>
      <c r="C45" s="4">
        <v>19.61400516848758</v>
      </c>
      <c r="D45" s="4">
        <v>-161.86674661960254</v>
      </c>
      <c r="E45" s="4">
        <v>-35.04095061101323</v>
      </c>
      <c r="F45" s="4">
        <v>-88.204959158159426</v>
      </c>
      <c r="G45" s="4">
        <v>-81.088753468870706</v>
      </c>
      <c r="H45" s="4">
        <v>-98.511818194314429</v>
      </c>
      <c r="I45" s="4">
        <v>-98.58511146929149</v>
      </c>
      <c r="J45" s="4">
        <v>-92.194290556928323</v>
      </c>
      <c r="L45" s="4">
        <f t="shared" si="1"/>
        <v>-98.58511146929149</v>
      </c>
      <c r="M45" s="4">
        <f t="shared" si="2"/>
        <v>-98.511818194314429</v>
      </c>
      <c r="N45" s="4">
        <f t="shared" si="3"/>
        <v>7.3293274977061174E-2</v>
      </c>
      <c r="P45" s="4">
        <f t="shared" si="4"/>
        <v>-35.04095061101323</v>
      </c>
      <c r="Q45" s="4">
        <f t="shared" si="5"/>
        <v>-161.86674661960254</v>
      </c>
      <c r="R45" s="4">
        <f t="shared" si="6"/>
        <v>126.82579600858931</v>
      </c>
      <c r="T45" s="4">
        <f t="shared" si="7"/>
        <v>3.3111519797568469E-2</v>
      </c>
      <c r="W45" s="8">
        <f t="shared" si="8"/>
        <v>0</v>
      </c>
      <c r="X45" s="8">
        <f t="shared" si="9"/>
        <v>2.8029999999999999</v>
      </c>
      <c r="Y45" s="8">
        <f t="shared" si="10"/>
        <v>2.8029999999999999</v>
      </c>
      <c r="Z45" s="8">
        <f t="shared" si="11"/>
        <v>0</v>
      </c>
    </row>
    <row r="46" spans="1:26" x14ac:dyDescent="0.3">
      <c r="A46" s="4">
        <v>42</v>
      </c>
      <c r="B46" s="4">
        <v>1.6400000000000008</v>
      </c>
      <c r="C46" s="4">
        <v>24.657684013476683</v>
      </c>
      <c r="D46" s="4">
        <v>-165.42462357919251</v>
      </c>
      <c r="E46" s="4">
        <v>-39.513063607069924</v>
      </c>
      <c r="F46" s="4">
        <v>-84.921047423852372</v>
      </c>
      <c r="G46" s="4">
        <v>-84.500935076717298</v>
      </c>
      <c r="H46" s="4">
        <v>-98.395987720872128</v>
      </c>
      <c r="I46" s="4">
        <v>-98.544328292162064</v>
      </c>
      <c r="J46" s="4">
        <v>-93.172905988906507</v>
      </c>
      <c r="L46" s="4">
        <f t="shared" si="1"/>
        <v>-98.544328292162064</v>
      </c>
      <c r="M46" s="4">
        <f t="shared" si="2"/>
        <v>-98.395987720872128</v>
      </c>
      <c r="N46" s="4">
        <f t="shared" si="3"/>
        <v>0.1483405712899355</v>
      </c>
      <c r="P46" s="4">
        <f t="shared" si="4"/>
        <v>-39.513063607069924</v>
      </c>
      <c r="Q46" s="4">
        <f t="shared" si="5"/>
        <v>-165.42462357919251</v>
      </c>
      <c r="R46" s="4">
        <f t="shared" si="6"/>
        <v>125.91155997212259</v>
      </c>
      <c r="T46" s="4">
        <f t="shared" si="7"/>
        <v>6.7502020743983995E-2</v>
      </c>
      <c r="W46" s="8">
        <f t="shared" si="8"/>
        <v>0</v>
      </c>
      <c r="X46" s="8">
        <f t="shared" si="9"/>
        <v>2.8029999999999999</v>
      </c>
      <c r="Y46" s="8">
        <f t="shared" si="10"/>
        <v>2.8029999999999999</v>
      </c>
      <c r="Z46" s="8">
        <f t="shared" si="11"/>
        <v>0</v>
      </c>
    </row>
    <row r="47" spans="1:26" x14ac:dyDescent="0.3">
      <c r="A47" s="4">
        <v>43</v>
      </c>
      <c r="B47" s="4">
        <v>1.6800000000000008</v>
      </c>
      <c r="C47" s="4">
        <v>28.358129320889788</v>
      </c>
      <c r="D47" s="4">
        <v>-168.81324971374534</v>
      </c>
      <c r="E47" s="4">
        <v>-43.907028697586284</v>
      </c>
      <c r="F47" s="4">
        <v>-82.988347909425826</v>
      </c>
      <c r="G47" s="4">
        <v>-87.293838580566231</v>
      </c>
      <c r="H47" s="4">
        <v>-98.187304627695966</v>
      </c>
      <c r="I47" s="4">
        <v>-98.440089607900092</v>
      </c>
      <c r="J47" s="4">
        <v>-93.944726395209528</v>
      </c>
      <c r="L47" s="4">
        <f t="shared" si="1"/>
        <v>-98.440089607900092</v>
      </c>
      <c r="M47" s="4">
        <f t="shared" si="2"/>
        <v>-98.187304627695966</v>
      </c>
      <c r="N47" s="4">
        <f t="shared" si="3"/>
        <v>0.25278498020412599</v>
      </c>
      <c r="P47" s="4">
        <f t="shared" si="4"/>
        <v>-43.907028697586284</v>
      </c>
      <c r="Q47" s="4">
        <f t="shared" si="5"/>
        <v>-168.81324971374534</v>
      </c>
      <c r="R47" s="4">
        <f t="shared" si="6"/>
        <v>124.90622101615905</v>
      </c>
      <c r="T47" s="4">
        <f t="shared" si="7"/>
        <v>0.1159549348187431</v>
      </c>
      <c r="W47" s="8">
        <f t="shared" si="8"/>
        <v>0</v>
      </c>
      <c r="X47" s="8">
        <f t="shared" si="9"/>
        <v>2.8029999999999999</v>
      </c>
      <c r="Y47" s="8">
        <f t="shared" si="10"/>
        <v>2.8029999999999999</v>
      </c>
      <c r="Z47" s="8">
        <f t="shared" si="11"/>
        <v>0</v>
      </c>
    </row>
    <row r="48" spans="1:26" x14ac:dyDescent="0.3">
      <c r="A48" s="4">
        <v>44</v>
      </c>
      <c r="B48" s="4">
        <v>1.7200000000000009</v>
      </c>
      <c r="C48" s="4">
        <v>30.813830931866178</v>
      </c>
      <c r="D48" s="4">
        <v>-171.98776093895401</v>
      </c>
      <c r="E48" s="4">
        <v>-48.165325821847283</v>
      </c>
      <c r="F48" s="4">
        <v>-82.260538277490056</v>
      </c>
      <c r="G48" s="4">
        <v>-89.579077912393942</v>
      </c>
      <c r="H48" s="4">
        <v>-97.866261997797238</v>
      </c>
      <c r="I48" s="4">
        <v>-98.261114418356343</v>
      </c>
      <c r="J48" s="4">
        <v>-94.614662749980567</v>
      </c>
      <c r="L48" s="4">
        <f t="shared" si="1"/>
        <v>-98.261114418356343</v>
      </c>
      <c r="M48" s="4">
        <f t="shared" si="2"/>
        <v>-97.866261997797238</v>
      </c>
      <c r="N48" s="4">
        <f t="shared" si="3"/>
        <v>0.39485242055910419</v>
      </c>
      <c r="P48" s="4">
        <f t="shared" si="4"/>
        <v>-48.165325821847283</v>
      </c>
      <c r="Q48" s="4">
        <f t="shared" si="5"/>
        <v>-171.98776093895401</v>
      </c>
      <c r="R48" s="4">
        <f t="shared" si="6"/>
        <v>123.82243511710672</v>
      </c>
      <c r="T48" s="4">
        <f t="shared" si="7"/>
        <v>0.18270760483120516</v>
      </c>
      <c r="W48" s="8">
        <f t="shared" si="8"/>
        <v>0</v>
      </c>
      <c r="X48" s="8">
        <f t="shared" si="9"/>
        <v>2.8029999999999999</v>
      </c>
      <c r="Y48" s="8">
        <f t="shared" si="10"/>
        <v>2.8029999999999999</v>
      </c>
      <c r="Z48" s="8">
        <f t="shared" si="11"/>
        <v>0</v>
      </c>
    </row>
    <row r="49" spans="1:26" x14ac:dyDescent="0.3">
      <c r="A49" s="4">
        <v>45</v>
      </c>
      <c r="B49" s="4">
        <v>1.7600000000000009</v>
      </c>
      <c r="C49" s="4">
        <v>32.151116156345807</v>
      </c>
      <c r="D49" s="4">
        <v>-174.89183778864106</v>
      </c>
      <c r="E49" s="4">
        <v>-52.22306635930255</v>
      </c>
      <c r="F49" s="4">
        <v>-82.580229609871779</v>
      </c>
      <c r="G49" s="4">
        <v>-91.461600403111532</v>
      </c>
      <c r="H49" s="4">
        <v>-97.415205434730154</v>
      </c>
      <c r="I49" s="4">
        <v>-98.001511981340443</v>
      </c>
      <c r="J49" s="4">
        <v>-95.235704288105097</v>
      </c>
      <c r="L49" s="4">
        <f t="shared" si="1"/>
        <v>-98.001511981340443</v>
      </c>
      <c r="M49" s="4">
        <f t="shared" si="2"/>
        <v>-97.415205434730154</v>
      </c>
      <c r="N49" s="4">
        <f t="shared" si="3"/>
        <v>0.58630654661028814</v>
      </c>
      <c r="P49" s="4">
        <f t="shared" si="4"/>
        <v>-52.22306635930255</v>
      </c>
      <c r="Q49" s="4">
        <f t="shared" si="5"/>
        <v>-174.89183778864106</v>
      </c>
      <c r="R49" s="4">
        <f t="shared" si="6"/>
        <v>122.66877142933851</v>
      </c>
      <c r="T49" s="4">
        <f t="shared" si="7"/>
        <v>0.27384830246198305</v>
      </c>
      <c r="W49" s="8">
        <f t="shared" si="8"/>
        <v>0</v>
      </c>
      <c r="X49" s="8">
        <f t="shared" si="9"/>
        <v>2.8029999999999999</v>
      </c>
      <c r="Y49" s="8">
        <f t="shared" si="10"/>
        <v>2.8029999999999999</v>
      </c>
      <c r="Z49" s="8">
        <f t="shared" si="11"/>
        <v>0</v>
      </c>
    </row>
    <row r="50" spans="1:26" x14ac:dyDescent="0.3">
      <c r="A50" s="4">
        <v>46</v>
      </c>
      <c r="B50" s="4">
        <v>1.8000000000000009</v>
      </c>
      <c r="C50" s="4">
        <v>32.508698287669404</v>
      </c>
      <c r="D50" s="4">
        <v>-177.45704372184477</v>
      </c>
      <c r="E50" s="4">
        <v>-56.007569596899167</v>
      </c>
      <c r="F50" s="4">
        <v>-83.795396096309119</v>
      </c>
      <c r="G50" s="4">
        <v>-93.02379783034489</v>
      </c>
      <c r="H50" s="4">
        <v>-96.817988843619105</v>
      </c>
      <c r="I50" s="4">
        <v>-97.661174586834463</v>
      </c>
      <c r="J50" s="4">
        <v>-95.826866905408423</v>
      </c>
      <c r="L50" s="4">
        <f t="shared" si="1"/>
        <v>-97.661174586834463</v>
      </c>
      <c r="M50" s="4">
        <f t="shared" si="2"/>
        <v>-96.817988843619105</v>
      </c>
      <c r="N50" s="4">
        <f t="shared" si="3"/>
        <v>0.84318574321535777</v>
      </c>
      <c r="P50" s="4">
        <f t="shared" si="4"/>
        <v>-56.007569596899167</v>
      </c>
      <c r="Q50" s="4">
        <f t="shared" si="5"/>
        <v>-177.45704372184477</v>
      </c>
      <c r="R50" s="4">
        <f t="shared" si="6"/>
        <v>121.4494741249456</v>
      </c>
      <c r="T50" s="4">
        <f t="shared" si="7"/>
        <v>0.39778029992505543</v>
      </c>
      <c r="W50" s="8">
        <f t="shared" si="8"/>
        <v>0</v>
      </c>
      <c r="X50" s="8">
        <f t="shared" si="9"/>
        <v>2.8029999999999999</v>
      </c>
      <c r="Y50" s="8">
        <f t="shared" si="10"/>
        <v>2.8029999999999999</v>
      </c>
      <c r="Z50" s="8">
        <f t="shared" si="11"/>
        <v>0</v>
      </c>
    </row>
    <row r="51" spans="1:26" x14ac:dyDescent="0.3">
      <c r="A51" s="4">
        <v>47</v>
      </c>
      <c r="B51" s="4">
        <v>1.840000000000001</v>
      </c>
      <c r="C51" s="4">
        <v>32.025297028834615</v>
      </c>
      <c r="D51" s="4">
        <v>-179.60209891372293</v>
      </c>
      <c r="E51" s="4">
        <v>-59.43748539004018</v>
      </c>
      <c r="F51" s="4">
        <v>-85.766271282059733</v>
      </c>
      <c r="G51" s="4">
        <v>-94.324566588015301</v>
      </c>
      <c r="H51" s="4">
        <v>-96.058940972756659</v>
      </c>
      <c r="I51" s="4">
        <v>-97.245614899650178</v>
      </c>
      <c r="J51" s="4">
        <v>-96.387269253460488</v>
      </c>
      <c r="L51" s="4">
        <f t="shared" si="1"/>
        <v>-97.245614899650178</v>
      </c>
      <c r="M51" s="4">
        <f t="shared" si="2"/>
        <v>-96.387269253460488</v>
      </c>
      <c r="N51" s="4">
        <f t="shared" si="3"/>
        <v>0.85834564618969011</v>
      </c>
      <c r="P51" s="4">
        <f t="shared" si="4"/>
        <v>-59.43748539004018</v>
      </c>
      <c r="Q51" s="4">
        <f t="shared" si="5"/>
        <v>-85.766271282059733</v>
      </c>
      <c r="R51" s="4">
        <f t="shared" si="6"/>
        <v>26.328785892019553</v>
      </c>
      <c r="T51" s="4">
        <f t="shared" si="7"/>
        <v>1.8672403299383615</v>
      </c>
      <c r="W51" s="8">
        <f t="shared" si="8"/>
        <v>0</v>
      </c>
      <c r="X51" s="8">
        <f t="shared" si="9"/>
        <v>0</v>
      </c>
      <c r="Y51" s="8">
        <f t="shared" si="10"/>
        <v>2.8029999999999999</v>
      </c>
      <c r="Z51" s="8">
        <f t="shared" si="11"/>
        <v>2.8029999999999999</v>
      </c>
    </row>
    <row r="52" spans="1:26" x14ac:dyDescent="0.3">
      <c r="A52" s="4">
        <v>48</v>
      </c>
      <c r="B52" s="4">
        <v>1.880000000000001</v>
      </c>
      <c r="C52" s="4">
        <v>30.831630071031128</v>
      </c>
      <c r="D52" s="4">
        <v>-181.232186625146</v>
      </c>
      <c r="E52" s="4">
        <v>-62.421556589648475</v>
      </c>
      <c r="F52" s="4">
        <v>-88.36728217760718</v>
      </c>
      <c r="G52" s="4">
        <v>-95.404090353569899</v>
      </c>
      <c r="H52" s="4">
        <v>-95.120943122950194</v>
      </c>
      <c r="I52" s="4">
        <v>-96.765152908180468</v>
      </c>
      <c r="J52" s="4">
        <v>-96.906158548932453</v>
      </c>
      <c r="L52" s="4">
        <f t="shared" si="1"/>
        <v>-96.906158548932453</v>
      </c>
      <c r="M52" s="4">
        <f t="shared" si="2"/>
        <v>-96.765152908180468</v>
      </c>
      <c r="N52" s="4">
        <f t="shared" si="3"/>
        <v>0.14100564075198463</v>
      </c>
      <c r="P52" s="4">
        <f t="shared" si="4"/>
        <v>-88.36728217760718</v>
      </c>
      <c r="Q52" s="4">
        <f t="shared" si="5"/>
        <v>-62.421556589648475</v>
      </c>
      <c r="R52" s="4">
        <f t="shared" si="6"/>
        <v>25.945725587958705</v>
      </c>
      <c r="T52" s="4">
        <f t="shared" si="7"/>
        <v>0.31137878714619366</v>
      </c>
      <c r="W52" s="8">
        <f t="shared" si="8"/>
        <v>0</v>
      </c>
      <c r="X52" s="8">
        <f t="shared" si="9"/>
        <v>0</v>
      </c>
      <c r="Y52" s="8">
        <f t="shared" si="10"/>
        <v>2.8029999999999999</v>
      </c>
      <c r="Z52" s="8">
        <f t="shared" si="11"/>
        <v>2.8029999999999999</v>
      </c>
    </row>
    <row r="53" spans="1:26" x14ac:dyDescent="0.3">
      <c r="A53" s="4">
        <v>49</v>
      </c>
      <c r="B53" s="4">
        <v>1.920000000000001</v>
      </c>
      <c r="C53" s="4">
        <v>29.046254130305854</v>
      </c>
      <c r="D53" s="4">
        <v>-182.23856264108429</v>
      </c>
      <c r="E53" s="4">
        <v>-64.857141385258046</v>
      </c>
      <c r="F53" s="4">
        <v>-91.486657902536038</v>
      </c>
      <c r="G53" s="4">
        <v>-96.289815179819769</v>
      </c>
      <c r="H53" s="4">
        <v>-93.982384849442099</v>
      </c>
      <c r="I53" s="4">
        <v>-96.233216252820796</v>
      </c>
      <c r="J53" s="4">
        <v>-97.369624884007138</v>
      </c>
      <c r="L53" s="4">
        <f t="shared" si="1"/>
        <v>-97.369624884007138</v>
      </c>
      <c r="M53" s="4">
        <f t="shared" si="2"/>
        <v>-96.289815179819769</v>
      </c>
      <c r="N53" s="4">
        <f t="shared" si="3"/>
        <v>1.0798097041873689</v>
      </c>
      <c r="P53" s="4">
        <f t="shared" si="4"/>
        <v>-91.486657902536038</v>
      </c>
      <c r="Q53" s="4">
        <f t="shared" si="5"/>
        <v>29.046254130305854</v>
      </c>
      <c r="R53" s="4">
        <f t="shared" si="6"/>
        <v>120.53291203284189</v>
      </c>
      <c r="T53" s="4">
        <f t="shared" si="7"/>
        <v>0.5132779307728822</v>
      </c>
      <c r="W53" s="8">
        <f t="shared" si="8"/>
        <v>2.8029999999999999</v>
      </c>
      <c r="X53" s="8">
        <f t="shared" si="9"/>
        <v>0</v>
      </c>
      <c r="Y53" s="8">
        <f t="shared" si="10"/>
        <v>0</v>
      </c>
      <c r="Z53" s="8">
        <f t="shared" si="11"/>
        <v>2.8029999999999999</v>
      </c>
    </row>
    <row r="54" spans="1:26" x14ac:dyDescent="0.3">
      <c r="A54" s="4">
        <v>50</v>
      </c>
      <c r="B54" s="4">
        <v>1.9600000000000011</v>
      </c>
      <c r="C54" s="4">
        <v>26.773990415696829</v>
      </c>
      <c r="D54" s="4">
        <v>-182.49900175711252</v>
      </c>
      <c r="E54" s="4">
        <v>-66.628695646768563</v>
      </c>
      <c r="F54" s="4">
        <v>-95.02511683358604</v>
      </c>
      <c r="G54" s="4">
        <v>-97.001706254281387</v>
      </c>
      <c r="H54" s="4">
        <v>-92.612816732327133</v>
      </c>
      <c r="I54" s="4">
        <v>-95.663348862646799</v>
      </c>
      <c r="J54" s="4">
        <v>-97.764877746383291</v>
      </c>
      <c r="L54" s="4">
        <f t="shared" si="1"/>
        <v>-97.764877746383291</v>
      </c>
      <c r="M54" s="4">
        <f t="shared" si="2"/>
        <v>-97.001706254281387</v>
      </c>
      <c r="N54" s="4">
        <f t="shared" si="3"/>
        <v>0.76317149210190394</v>
      </c>
      <c r="P54" s="4">
        <f t="shared" si="4"/>
        <v>-95.02511683358604</v>
      </c>
      <c r="Q54" s="4">
        <f t="shared" si="5"/>
        <v>26.773990415696829</v>
      </c>
      <c r="R54" s="4">
        <f t="shared" si="6"/>
        <v>121.79910724928287</v>
      </c>
      <c r="T54" s="4">
        <f t="shared" si="7"/>
        <v>0.35900044180388413</v>
      </c>
      <c r="W54" s="8">
        <f t="shared" si="8"/>
        <v>2.8029999999999999</v>
      </c>
      <c r="X54" s="8">
        <f t="shared" si="9"/>
        <v>0</v>
      </c>
      <c r="Y54" s="8">
        <f t="shared" si="10"/>
        <v>0</v>
      </c>
      <c r="Z54" s="8">
        <f t="shared" si="11"/>
        <v>2.8029999999999999</v>
      </c>
    </row>
    <row r="55" spans="1:26" x14ac:dyDescent="0.3">
      <c r="A55" s="4">
        <v>51</v>
      </c>
      <c r="B55" s="4">
        <v>2.0000000000000009</v>
      </c>
      <c r="C55" s="4">
        <v>24.10578690950183</v>
      </c>
      <c r="D55" s="4">
        <v>-181.87996992861483</v>
      </c>
      <c r="E55" s="4">
        <v>-67.606625987709066</v>
      </c>
      <c r="F55" s="4">
        <v>-98.894331072917439</v>
      </c>
      <c r="G55" s="4">
        <v>-97.556220007628497</v>
      </c>
      <c r="H55" s="4">
        <v>-90.967394163956527</v>
      </c>
      <c r="I55" s="4">
        <v>-95.064331112538284</v>
      </c>
      <c r="J55" s="4">
        <v>-98.082822230964155</v>
      </c>
      <c r="L55" s="4">
        <f t="shared" si="1"/>
        <v>-98.082822230964155</v>
      </c>
      <c r="M55" s="4">
        <f t="shared" si="2"/>
        <v>-97.556220007628497</v>
      </c>
      <c r="N55" s="4">
        <f t="shared" si="3"/>
        <v>0.52660222333565798</v>
      </c>
      <c r="P55" s="4">
        <f t="shared" si="4"/>
        <v>-98.894331072917439</v>
      </c>
      <c r="Q55" s="4">
        <f t="shared" si="5"/>
        <v>24.10578690950183</v>
      </c>
      <c r="R55" s="4">
        <f t="shared" si="6"/>
        <v>123.00011798241927</v>
      </c>
      <c r="T55" s="4">
        <f t="shared" si="7"/>
        <v>0.24529976904328821</v>
      </c>
      <c r="W55" s="8">
        <f t="shared" si="8"/>
        <v>2.8029999999999999</v>
      </c>
      <c r="X55" s="8">
        <f t="shared" si="9"/>
        <v>0</v>
      </c>
      <c r="Y55" s="8">
        <f t="shared" si="10"/>
        <v>0</v>
      </c>
      <c r="Z55" s="8">
        <f t="shared" si="11"/>
        <v>2.8029999999999999</v>
      </c>
    </row>
    <row r="56" spans="1:26" x14ac:dyDescent="0.3">
      <c r="A56" s="4">
        <v>52</v>
      </c>
      <c r="B56" s="4">
        <v>2.0400000000000009</v>
      </c>
      <c r="C56" s="4">
        <v>21.119234924236522</v>
      </c>
      <c r="D56" s="4">
        <v>-180.24174804006529</v>
      </c>
      <c r="E56" s="4">
        <v>-67.647369082113599</v>
      </c>
      <c r="F56" s="4">
        <v>-103.0155013072108</v>
      </c>
      <c r="G56" s="4">
        <v>-97.9690095393142</v>
      </c>
      <c r="H56" s="4">
        <v>-88.980960043242177</v>
      </c>
      <c r="I56" s="4">
        <v>-94.432624074281691</v>
      </c>
      <c r="J56" s="4">
        <v>-98.319476033689853</v>
      </c>
      <c r="L56" s="4">
        <f t="shared" si="1"/>
        <v>-98.319476033689853</v>
      </c>
      <c r="M56" s="4">
        <f t="shared" si="2"/>
        <v>-97.9690095393142</v>
      </c>
      <c r="N56" s="4">
        <f t="shared" si="3"/>
        <v>0.35046649437565236</v>
      </c>
      <c r="P56" s="4">
        <f t="shared" si="4"/>
        <v>-103.0155013072108</v>
      </c>
      <c r="Q56" s="4">
        <f t="shared" si="5"/>
        <v>21.119234924236522</v>
      </c>
      <c r="R56" s="4">
        <f t="shared" si="6"/>
        <v>124.13473623144732</v>
      </c>
      <c r="T56" s="4">
        <f t="shared" si="7"/>
        <v>0.16176131070075286</v>
      </c>
      <c r="W56" s="8">
        <f t="shared" si="8"/>
        <v>2.8029999999999999</v>
      </c>
      <c r="X56" s="8">
        <f t="shared" si="9"/>
        <v>0</v>
      </c>
      <c r="Y56" s="8">
        <f t="shared" si="10"/>
        <v>0</v>
      </c>
      <c r="Z56" s="8">
        <f t="shared" si="11"/>
        <v>2.8029999999999999</v>
      </c>
    </row>
    <row r="57" spans="1:26" x14ac:dyDescent="0.3">
      <c r="A57" s="4">
        <v>53</v>
      </c>
      <c r="B57" s="4">
        <v>2.080000000000001</v>
      </c>
      <c r="C57" s="4">
        <v>17.87929027589216</v>
      </c>
      <c r="D57" s="4">
        <v>-177.447682784075</v>
      </c>
      <c r="E57" s="4">
        <v>-66.596385968660371</v>
      </c>
      <c r="F57" s="4">
        <v>-107.31820989343694</v>
      </c>
      <c r="G57" s="4">
        <v>-98.256573907169738</v>
      </c>
      <c r="H57" s="4">
        <v>-86.564260023483911</v>
      </c>
      <c r="I57" s="4">
        <v>-93.741260088445202</v>
      </c>
      <c r="J57" s="4">
        <v>-98.476582342463686</v>
      </c>
      <c r="L57" s="4">
        <f t="shared" si="1"/>
        <v>-98.476582342463686</v>
      </c>
      <c r="M57" s="4">
        <f t="shared" si="2"/>
        <v>-98.256573907169738</v>
      </c>
      <c r="N57" s="4">
        <f t="shared" si="3"/>
        <v>0.22000843529394842</v>
      </c>
      <c r="P57" s="4">
        <f t="shared" si="4"/>
        <v>-107.31820989343694</v>
      </c>
      <c r="Q57" s="4">
        <f t="shared" si="5"/>
        <v>17.87929027589216</v>
      </c>
      <c r="R57" s="4">
        <f t="shared" si="6"/>
        <v>125.1975001693291</v>
      </c>
      <c r="T57" s="4">
        <f t="shared" si="7"/>
        <v>0.10068525175803952</v>
      </c>
      <c r="W57" s="8">
        <f t="shared" si="8"/>
        <v>2.8029999999999999</v>
      </c>
      <c r="X57" s="8">
        <f t="shared" si="9"/>
        <v>0</v>
      </c>
      <c r="Y57" s="8">
        <f t="shared" si="10"/>
        <v>0</v>
      </c>
      <c r="Z57" s="8">
        <f t="shared" si="11"/>
        <v>2.8029999999999999</v>
      </c>
    </row>
    <row r="58" spans="1:26" x14ac:dyDescent="0.3">
      <c r="A58" s="4">
        <v>54</v>
      </c>
      <c r="B58" s="4">
        <v>2.120000000000001</v>
      </c>
      <c r="C58" s="4">
        <v>14.438985602751075</v>
      </c>
      <c r="D58" s="4">
        <v>-173.37763899858851</v>
      </c>
      <c r="E58" s="4">
        <v>-64.297176519169128</v>
      </c>
      <c r="F58" s="4">
        <v>-111.73966301412533</v>
      </c>
      <c r="G58" s="4">
        <v>-98.437079713020395</v>
      </c>
      <c r="H58" s="4">
        <v>-83.607876498487983</v>
      </c>
      <c r="I58" s="4">
        <v>-92.924586324148038</v>
      </c>
      <c r="J58" s="4">
        <v>-98.561611393642337</v>
      </c>
      <c r="L58" s="4">
        <f t="shared" si="1"/>
        <v>-98.561611393642337</v>
      </c>
      <c r="M58" s="4">
        <f t="shared" si="2"/>
        <v>-98.437079713020395</v>
      </c>
      <c r="N58" s="4">
        <f t="shared" si="3"/>
        <v>0.12453168062194209</v>
      </c>
      <c r="P58" s="4">
        <f t="shared" si="4"/>
        <v>-111.73966301412533</v>
      </c>
      <c r="Q58" s="4">
        <f t="shared" si="5"/>
        <v>14.438985602751075</v>
      </c>
      <c r="R58" s="4">
        <f t="shared" si="6"/>
        <v>126.1786486168764</v>
      </c>
      <c r="T58" s="4">
        <f t="shared" si="7"/>
        <v>5.6547898371283573E-2</v>
      </c>
      <c r="W58" s="8">
        <f t="shared" si="8"/>
        <v>2.8029999999999999</v>
      </c>
      <c r="X58" s="8">
        <f t="shared" si="9"/>
        <v>0</v>
      </c>
      <c r="Y58" s="8">
        <f t="shared" si="10"/>
        <v>0</v>
      </c>
      <c r="Z58" s="8">
        <f t="shared" si="11"/>
        <v>2.8029999999999999</v>
      </c>
    </row>
    <row r="59" spans="1:26" x14ac:dyDescent="0.3">
      <c r="A59" s="4">
        <v>55</v>
      </c>
      <c r="B59" s="4">
        <v>2.160000000000001</v>
      </c>
      <c r="C59" s="4">
        <v>10.840073028027192</v>
      </c>
      <c r="D59" s="4">
        <v>-167.94405544466338</v>
      </c>
      <c r="E59" s="4">
        <v>-60.611553829521668</v>
      </c>
      <c r="F59" s="4">
        <v>-116.2244092095204</v>
      </c>
      <c r="G59" s="4">
        <v>-98.530538596989985</v>
      </c>
      <c r="H59" s="4">
        <v>-80.005099598964534</v>
      </c>
      <c r="I59" s="4">
        <v>-91.859563202091749</v>
      </c>
      <c r="J59" s="4">
        <v>-98.587213954646643</v>
      </c>
      <c r="L59" s="4">
        <f t="shared" si="1"/>
        <v>-98.587213954646643</v>
      </c>
      <c r="M59" s="4">
        <f t="shared" si="2"/>
        <v>-98.530538596989985</v>
      </c>
      <c r="N59" s="4">
        <f t="shared" si="3"/>
        <v>5.6675357656658321E-2</v>
      </c>
      <c r="P59" s="4">
        <f t="shared" si="4"/>
        <v>-116.2244092095204</v>
      </c>
      <c r="Q59" s="4">
        <f t="shared" si="5"/>
        <v>10.840073028027192</v>
      </c>
      <c r="R59" s="4">
        <f t="shared" si="6"/>
        <v>127.06448223754759</v>
      </c>
      <c r="T59" s="4">
        <f t="shared" si="7"/>
        <v>2.5555989554222697E-2</v>
      </c>
      <c r="W59" s="8">
        <f t="shared" si="8"/>
        <v>2.8029999999999999</v>
      </c>
      <c r="X59" s="8">
        <f t="shared" si="9"/>
        <v>0</v>
      </c>
      <c r="Y59" s="8">
        <f t="shared" si="10"/>
        <v>0</v>
      </c>
      <c r="Z59" s="8">
        <f t="shared" si="11"/>
        <v>2.8029999999999999</v>
      </c>
    </row>
    <row r="60" spans="1:26" x14ac:dyDescent="0.3">
      <c r="A60" s="4">
        <v>56</v>
      </c>
      <c r="B60" s="4">
        <v>2.2000000000000011</v>
      </c>
      <c r="C60" s="4">
        <v>7.1136503858636075</v>
      </c>
      <c r="D60" s="4">
        <v>-161.11731486255209</v>
      </c>
      <c r="E60" s="4">
        <v>-55.458888149785871</v>
      </c>
      <c r="F60" s="4">
        <v>-120.72459494070067</v>
      </c>
      <c r="G60" s="4">
        <v>-98.558453616165494</v>
      </c>
      <c r="H60" s="4">
        <v>-75.719704905401997</v>
      </c>
      <c r="I60" s="4">
        <v>-90.347814371568063</v>
      </c>
      <c r="J60" s="4">
        <v>-98.570071775434954</v>
      </c>
      <c r="L60" s="4">
        <f t="shared" si="1"/>
        <v>-98.570071775434954</v>
      </c>
      <c r="M60" s="4">
        <f t="shared" si="2"/>
        <v>-98.558453616165494</v>
      </c>
      <c r="N60" s="4">
        <f t="shared" si="3"/>
        <v>1.1618159269460193E-2</v>
      </c>
      <c r="P60" s="4">
        <f t="shared" si="4"/>
        <v>-120.72459494070067</v>
      </c>
      <c r="Q60" s="4">
        <f t="shared" si="5"/>
        <v>7.1136503858636075</v>
      </c>
      <c r="R60" s="4">
        <f t="shared" si="6"/>
        <v>127.83824532656428</v>
      </c>
      <c r="T60" s="4">
        <f t="shared" si="7"/>
        <v>5.2071388207628926E-3</v>
      </c>
      <c r="W60" s="8">
        <f t="shared" si="8"/>
        <v>2.8029999999999999</v>
      </c>
      <c r="X60" s="8">
        <f t="shared" si="9"/>
        <v>0</v>
      </c>
      <c r="Y60" s="8">
        <f t="shared" si="10"/>
        <v>0</v>
      </c>
      <c r="Z60" s="8">
        <f t="shared" si="11"/>
        <v>2.8029999999999999</v>
      </c>
    </row>
    <row r="61" spans="1:26" x14ac:dyDescent="0.3">
      <c r="A61" s="4">
        <v>57</v>
      </c>
      <c r="B61" s="4">
        <v>2.2400000000000011</v>
      </c>
      <c r="C61" s="4">
        <v>3.2808967095084967</v>
      </c>
      <c r="D61" s="4">
        <v>-153.03582424791148</v>
      </c>
      <c r="E61" s="4">
        <v>-48.88308457707975</v>
      </c>
      <c r="F61" s="4">
        <v>-125.2006676856457</v>
      </c>
      <c r="G61" s="4">
        <v>-98.54300689059022</v>
      </c>
      <c r="H61" s="4">
        <v>-70.989162018435167</v>
      </c>
      <c r="I61" s="4">
        <v>-88.110350148536469</v>
      </c>
      <c r="J61" s="4">
        <v>-98.529114561557435</v>
      </c>
      <c r="L61" s="4">
        <f t="shared" si="1"/>
        <v>-98.54300689059022</v>
      </c>
      <c r="M61" s="4">
        <f t="shared" si="2"/>
        <v>-98.529114561557435</v>
      </c>
      <c r="N61" s="4">
        <f t="shared" si="3"/>
        <v>1.3892329032785256E-2</v>
      </c>
      <c r="P61" s="4">
        <f t="shared" si="4"/>
        <v>3.2808967095084967</v>
      </c>
      <c r="Q61" s="4">
        <f t="shared" si="5"/>
        <v>-125.2006676856457</v>
      </c>
      <c r="R61" s="4">
        <f t="shared" si="6"/>
        <v>128.48156439515418</v>
      </c>
      <c r="T61" s="4">
        <f t="shared" si="7"/>
        <v>6.1952220291742865E-3</v>
      </c>
      <c r="W61" s="8">
        <f t="shared" si="8"/>
        <v>2.8029999999999999</v>
      </c>
      <c r="X61" s="8">
        <f t="shared" si="9"/>
        <v>0</v>
      </c>
      <c r="Y61" s="8">
        <f t="shared" si="10"/>
        <v>0</v>
      </c>
      <c r="Z61" s="8">
        <f t="shared" si="11"/>
        <v>2.8029999999999999</v>
      </c>
    </row>
    <row r="62" spans="1:26" x14ac:dyDescent="0.3">
      <c r="A62" s="4">
        <v>58</v>
      </c>
      <c r="B62" s="4">
        <v>2.2800000000000011</v>
      </c>
      <c r="C62" s="4">
        <v>-0.64587360453597853</v>
      </c>
      <c r="D62" s="4">
        <v>-144.43171973539629</v>
      </c>
      <c r="E62" s="4">
        <v>-41.149867158760649</v>
      </c>
      <c r="F62" s="4">
        <v>-129.62225122784324</v>
      </c>
      <c r="G62" s="4">
        <v>-98.505811467690577</v>
      </c>
      <c r="H62" s="4">
        <v>-66.948797435238063</v>
      </c>
      <c r="I62" s="4">
        <v>-84.821115213086856</v>
      </c>
      <c r="J62" s="4">
        <v>-98.483121947887298</v>
      </c>
      <c r="L62" s="4">
        <f t="shared" si="1"/>
        <v>-98.505811467690577</v>
      </c>
      <c r="M62" s="4">
        <f t="shared" si="2"/>
        <v>-98.483121947887298</v>
      </c>
      <c r="N62" s="4">
        <f t="shared" si="3"/>
        <v>2.2689519803279268E-2</v>
      </c>
      <c r="P62" s="4">
        <f t="shared" si="4"/>
        <v>-0.64587360453597853</v>
      </c>
      <c r="Q62" s="4">
        <f t="shared" si="5"/>
        <v>-129.62225122784324</v>
      </c>
      <c r="R62" s="4">
        <f t="shared" si="6"/>
        <v>128.97637762330726</v>
      </c>
      <c r="T62" s="4">
        <f t="shared" si="7"/>
        <v>1.0079471407488263E-2</v>
      </c>
      <c r="W62" s="8">
        <f t="shared" si="8"/>
        <v>2.8029999999999999</v>
      </c>
      <c r="X62" s="8">
        <f t="shared" si="9"/>
        <v>0</v>
      </c>
      <c r="Y62" s="8">
        <f t="shared" si="10"/>
        <v>0</v>
      </c>
      <c r="Z62" s="8">
        <f t="shared" si="11"/>
        <v>2.8029999999999999</v>
      </c>
    </row>
    <row r="63" spans="1:26" x14ac:dyDescent="0.3">
      <c r="A63" s="4">
        <v>59</v>
      </c>
      <c r="B63" s="4">
        <v>2.3200000000000012</v>
      </c>
      <c r="C63" s="4">
        <v>-4.6616064501870511</v>
      </c>
      <c r="D63" s="4">
        <v>-136.81857107763778</v>
      </c>
      <c r="E63" s="4">
        <v>-32.848372004189947</v>
      </c>
      <c r="F63" s="4">
        <v>-133.96867153370374</v>
      </c>
      <c r="G63" s="4">
        <v>-98.466277935601028</v>
      </c>
      <c r="H63" s="4">
        <v>-66.276513437249989</v>
      </c>
      <c r="I63" s="4">
        <v>-80.230015688194428</v>
      </c>
      <c r="J63" s="4">
        <v>-98.447997209620723</v>
      </c>
      <c r="L63" s="4">
        <f t="shared" si="1"/>
        <v>-98.466277935601028</v>
      </c>
      <c r="M63" s="4">
        <f t="shared" si="2"/>
        <v>-98.447997209620723</v>
      </c>
      <c r="N63" s="4">
        <f t="shared" si="3"/>
        <v>1.8280725980304169E-2</v>
      </c>
      <c r="P63" s="4">
        <f t="shared" si="4"/>
        <v>-4.6616064501870511</v>
      </c>
      <c r="Q63" s="4">
        <f t="shared" si="5"/>
        <v>-133.96867153370374</v>
      </c>
      <c r="R63" s="4">
        <f t="shared" si="6"/>
        <v>129.3070650835167</v>
      </c>
      <c r="T63" s="4">
        <f t="shared" si="7"/>
        <v>8.1001640355226109E-3</v>
      </c>
      <c r="W63" s="8">
        <f t="shared" si="8"/>
        <v>2.8029999999999999</v>
      </c>
      <c r="X63" s="8">
        <f t="shared" si="9"/>
        <v>0</v>
      </c>
      <c r="Y63" s="8">
        <f t="shared" si="10"/>
        <v>0</v>
      </c>
      <c r="Z63" s="8">
        <f t="shared" si="11"/>
        <v>2.8029999999999999</v>
      </c>
    </row>
    <row r="64" spans="1:26" x14ac:dyDescent="0.3">
      <c r="A64" s="4">
        <v>60</v>
      </c>
      <c r="B64" s="4">
        <v>2.3600000000000012</v>
      </c>
      <c r="C64" s="4">
        <v>-8.7661241605315894</v>
      </c>
      <c r="D64" s="4">
        <v>-130.22120457385435</v>
      </c>
      <c r="E64" s="4">
        <v>-24.87484306028594</v>
      </c>
      <c r="F64" s="4">
        <v>-138.22851062287404</v>
      </c>
      <c r="G64" s="4">
        <v>-98.439740270249359</v>
      </c>
      <c r="H64" s="4">
        <v>-70.227256566085458</v>
      </c>
      <c r="I64" s="4">
        <v>-74.475484110960466</v>
      </c>
      <c r="J64" s="4">
        <v>-98.434241300779888</v>
      </c>
      <c r="L64" s="4">
        <f t="shared" si="1"/>
        <v>-98.439740270249359</v>
      </c>
      <c r="M64" s="4">
        <f t="shared" si="2"/>
        <v>-98.434241300779888</v>
      </c>
      <c r="N64" s="4">
        <f t="shared" si="3"/>
        <v>5.4989694694711488E-3</v>
      </c>
      <c r="P64" s="4">
        <f t="shared" si="4"/>
        <v>-8.7661241605315894</v>
      </c>
      <c r="Q64" s="4">
        <f t="shared" si="5"/>
        <v>-138.22851062287404</v>
      </c>
      <c r="R64" s="4">
        <f t="shared" si="6"/>
        <v>129.46238646234247</v>
      </c>
      <c r="T64" s="4">
        <f t="shared" si="7"/>
        <v>2.4336623994966927E-3</v>
      </c>
      <c r="W64" s="8">
        <f t="shared" si="8"/>
        <v>2.8029999999999999</v>
      </c>
      <c r="X64" s="8">
        <f t="shared" si="9"/>
        <v>0</v>
      </c>
      <c r="Y64" s="8">
        <f t="shared" si="10"/>
        <v>0</v>
      </c>
      <c r="Z64" s="8">
        <f t="shared" si="11"/>
        <v>2.8029999999999999</v>
      </c>
    </row>
    <row r="65" spans="1:26" x14ac:dyDescent="0.3">
      <c r="A65" s="4">
        <v>61</v>
      </c>
      <c r="B65" s="4">
        <v>2.4000000000000012</v>
      </c>
      <c r="C65" s="4">
        <v>-12.960987111958431</v>
      </c>
      <c r="D65" s="4">
        <v>-122.96958271591842</v>
      </c>
      <c r="E65" s="4">
        <v>-17.918207397968928</v>
      </c>
      <c r="F65" s="4">
        <v>-142.39784540757907</v>
      </c>
      <c r="G65" s="4">
        <v>-98.43561341576526</v>
      </c>
      <c r="H65" s="4">
        <v>-76.172008294464391</v>
      </c>
      <c r="I65" s="4">
        <v>-68.765971475177537</v>
      </c>
      <c r="J65" s="4">
        <v>-98.445218599346319</v>
      </c>
      <c r="L65" s="4">
        <f t="shared" si="1"/>
        <v>-98.445218599346319</v>
      </c>
      <c r="M65" s="4">
        <f t="shared" si="2"/>
        <v>-98.43561341576526</v>
      </c>
      <c r="N65" s="4">
        <f t="shared" si="3"/>
        <v>9.6051835810584407E-3</v>
      </c>
      <c r="P65" s="4">
        <f t="shared" si="4"/>
        <v>-142.39784540757907</v>
      </c>
      <c r="Q65" s="4">
        <f t="shared" si="5"/>
        <v>-12.960987111958431</v>
      </c>
      <c r="R65" s="4">
        <f t="shared" si="6"/>
        <v>129.43685829562065</v>
      </c>
      <c r="T65" s="4">
        <f t="shared" si="7"/>
        <v>4.2517756292871512E-3</v>
      </c>
      <c r="W65" s="8">
        <f t="shared" si="8"/>
        <v>2.8029999999999999</v>
      </c>
      <c r="X65" s="8">
        <f t="shared" si="9"/>
        <v>0</v>
      </c>
      <c r="Y65" s="8">
        <f t="shared" si="10"/>
        <v>0</v>
      </c>
      <c r="Z65" s="8">
        <f t="shared" si="11"/>
        <v>2.8029999999999999</v>
      </c>
    </row>
    <row r="66" spans="1:26" x14ac:dyDescent="0.3">
      <c r="A66" s="4">
        <v>62</v>
      </c>
      <c r="B66" s="4">
        <v>2.4400000000000013</v>
      </c>
      <c r="C66" s="4">
        <v>-17.245867691050364</v>
      </c>
      <c r="D66" s="4">
        <v>-114.80661821665316</v>
      </c>
      <c r="E66" s="4">
        <v>-11.199899161376649</v>
      </c>
      <c r="F66" s="4">
        <v>-146.47722714959622</v>
      </c>
      <c r="G66" s="4">
        <v>-98.456051336409672</v>
      </c>
      <c r="H66" s="4">
        <v>-81.657662726349002</v>
      </c>
      <c r="I66" s="4">
        <v>-65.966313752519099</v>
      </c>
      <c r="J66" s="4">
        <v>-98.476654757644127</v>
      </c>
      <c r="L66" s="4">
        <f t="shared" si="1"/>
        <v>-98.476654757644127</v>
      </c>
      <c r="M66" s="4">
        <f t="shared" si="2"/>
        <v>-98.456051336409672</v>
      </c>
      <c r="N66" s="4">
        <f t="shared" si="3"/>
        <v>2.06034212344548E-2</v>
      </c>
      <c r="P66" s="4">
        <f t="shared" si="4"/>
        <v>-146.47722714959622</v>
      </c>
      <c r="Q66" s="4">
        <f t="shared" si="5"/>
        <v>-17.245867691050364</v>
      </c>
      <c r="R66" s="4">
        <f t="shared" si="6"/>
        <v>129.23135945854585</v>
      </c>
      <c r="T66" s="4">
        <f t="shared" si="7"/>
        <v>9.1346951328886029E-3</v>
      </c>
      <c r="W66" s="8">
        <f t="shared" si="8"/>
        <v>2.8029999999999999</v>
      </c>
      <c r="X66" s="8">
        <f t="shared" si="9"/>
        <v>0</v>
      </c>
      <c r="Y66" s="8">
        <f t="shared" si="10"/>
        <v>0</v>
      </c>
      <c r="Z66" s="8">
        <f t="shared" si="11"/>
        <v>2.8029999999999999</v>
      </c>
    </row>
    <row r="67" spans="1:26" x14ac:dyDescent="0.3">
      <c r="A67" s="4">
        <v>63</v>
      </c>
      <c r="B67" s="4">
        <v>2.4800000000000013</v>
      </c>
      <c r="C67" s="4">
        <v>-21.614969127086574</v>
      </c>
      <c r="D67" s="4">
        <v>-106.58458413116837</v>
      </c>
      <c r="E67" s="4">
        <v>-3.1792131662771652</v>
      </c>
      <c r="F67" s="4">
        <v>-150.4681033500801</v>
      </c>
      <c r="G67" s="4">
        <v>-98.495569647198693</v>
      </c>
      <c r="H67" s="4">
        <v>-85.870965633649035</v>
      </c>
      <c r="I67" s="4">
        <v>-67.882662827376919</v>
      </c>
      <c r="J67" s="4">
        <v>-98.517292073017146</v>
      </c>
      <c r="L67" s="4">
        <f t="shared" si="1"/>
        <v>-98.517292073017146</v>
      </c>
      <c r="M67" s="4">
        <f t="shared" si="2"/>
        <v>-98.495569647198693</v>
      </c>
      <c r="N67" s="4">
        <f t="shared" si="3"/>
        <v>2.1722425818452962E-2</v>
      </c>
      <c r="P67" s="4">
        <f t="shared" si="4"/>
        <v>-150.4681033500801</v>
      </c>
      <c r="Q67" s="4">
        <f t="shared" si="5"/>
        <v>-21.614969127086574</v>
      </c>
      <c r="R67" s="4">
        <f t="shared" si="6"/>
        <v>128.85313422299353</v>
      </c>
      <c r="T67" s="4">
        <f t="shared" si="7"/>
        <v>9.659084475499383E-3</v>
      </c>
      <c r="W67" s="8">
        <f t="shared" si="8"/>
        <v>2.8029999999999999</v>
      </c>
      <c r="X67" s="8">
        <f t="shared" si="9"/>
        <v>0</v>
      </c>
      <c r="Y67" s="8">
        <f t="shared" si="10"/>
        <v>0</v>
      </c>
      <c r="Z67" s="8">
        <f t="shared" si="11"/>
        <v>2.8029999999999999</v>
      </c>
    </row>
    <row r="68" spans="1:26" x14ac:dyDescent="0.3">
      <c r="A68" s="4">
        <v>64</v>
      </c>
      <c r="B68" s="4">
        <v>2.5200000000000014</v>
      </c>
      <c r="C68" s="4">
        <v>-26.054396075896449</v>
      </c>
      <c r="D68" s="4">
        <v>-99.132940003831877</v>
      </c>
      <c r="E68" s="4">
        <v>5.4123186771447394</v>
      </c>
      <c r="F68" s="4">
        <v>-154.36920899008732</v>
      </c>
      <c r="G68" s="4">
        <v>-98.54192891495957</v>
      </c>
      <c r="H68" s="4">
        <v>-88.832043937343784</v>
      </c>
      <c r="I68" s="4">
        <v>-72.326783388088245</v>
      </c>
      <c r="J68" s="4">
        <v>-98.550459588076123</v>
      </c>
      <c r="L68" s="4">
        <f t="shared" si="1"/>
        <v>-98.550459588076123</v>
      </c>
      <c r="M68" s="4">
        <f t="shared" si="2"/>
        <v>-98.54192891495957</v>
      </c>
      <c r="N68" s="4">
        <f t="shared" si="3"/>
        <v>8.5306731165530891E-3</v>
      </c>
      <c r="P68" s="4">
        <f t="shared" si="4"/>
        <v>-154.36920899008732</v>
      </c>
      <c r="Q68" s="4">
        <f t="shared" si="5"/>
        <v>-26.054396075896449</v>
      </c>
      <c r="R68" s="4">
        <f t="shared" si="6"/>
        <v>128.31481291419087</v>
      </c>
      <c r="T68" s="4">
        <f t="shared" si="7"/>
        <v>3.8091593181136243E-3</v>
      </c>
      <c r="W68" s="8">
        <f t="shared" si="8"/>
        <v>2.8029999999999999</v>
      </c>
      <c r="X68" s="8">
        <f t="shared" si="9"/>
        <v>0</v>
      </c>
      <c r="Y68" s="8">
        <f t="shared" si="10"/>
        <v>0</v>
      </c>
      <c r="Z68" s="8">
        <f t="shared" si="11"/>
        <v>2.8029999999999999</v>
      </c>
    </row>
    <row r="69" spans="1:26" x14ac:dyDescent="0.3">
      <c r="A69" s="4">
        <v>65</v>
      </c>
      <c r="B69" s="4">
        <v>2.5600000000000014</v>
      </c>
      <c r="C69" s="4">
        <v>-30.540735367116042</v>
      </c>
      <c r="D69" s="4">
        <v>-92.942334501298674</v>
      </c>
      <c r="E69" s="4">
        <v>13.176600605487039</v>
      </c>
      <c r="F69" s="4">
        <v>-158.17364790936961</v>
      </c>
      <c r="G69" s="4">
        <v>-98.578139994817519</v>
      </c>
      <c r="H69" s="4">
        <v>-90.83311745863486</v>
      </c>
      <c r="I69" s="4">
        <v>-76.989613952933212</v>
      </c>
      <c r="J69" s="4">
        <v>-98.555943094341174</v>
      </c>
      <c r="L69" s="4">
        <f t="shared" si="1"/>
        <v>-98.578139994817519</v>
      </c>
      <c r="M69" s="4">
        <f t="shared" si="2"/>
        <v>-98.555943094341174</v>
      </c>
      <c r="N69" s="4">
        <f t="shared" si="3"/>
        <v>2.2196900476345149E-2</v>
      </c>
      <c r="P69" s="4">
        <f t="shared" si="4"/>
        <v>-30.540735367116042</v>
      </c>
      <c r="Q69" s="4">
        <f t="shared" si="5"/>
        <v>-158.17364790936961</v>
      </c>
      <c r="R69" s="4">
        <f t="shared" si="6"/>
        <v>127.63291254225356</v>
      </c>
      <c r="T69" s="4">
        <f t="shared" si="7"/>
        <v>9.9644259259816913E-3</v>
      </c>
      <c r="W69" s="8">
        <f t="shared" si="8"/>
        <v>2.8029999999999999</v>
      </c>
      <c r="X69" s="8">
        <f t="shared" si="9"/>
        <v>0</v>
      </c>
      <c r="Y69" s="8">
        <f t="shared" si="10"/>
        <v>0</v>
      </c>
      <c r="Z69" s="8">
        <f t="shared" si="11"/>
        <v>2.8029999999999999</v>
      </c>
    </row>
    <row r="70" spans="1:26" x14ac:dyDescent="0.3">
      <c r="A70" s="4">
        <v>66</v>
      </c>
      <c r="B70" s="4">
        <v>2.6000000000000014</v>
      </c>
      <c r="C70" s="4">
        <v>-35.040950608989903</v>
      </c>
      <c r="D70" s="4">
        <v>-88.204958418022414</v>
      </c>
      <c r="E70" s="4">
        <v>19.614005972906298</v>
      </c>
      <c r="F70" s="4">
        <v>-161.86674645039855</v>
      </c>
      <c r="G70" s="4">
        <v>-98.585111614873739</v>
      </c>
      <c r="H70" s="4">
        <v>-92.194290779233896</v>
      </c>
      <c r="I70" s="4">
        <v>-81.088753673760166</v>
      </c>
      <c r="J70" s="4">
        <v>-98.511818312213336</v>
      </c>
      <c r="L70" s="4">
        <f t="shared" ref="L70:L130" si="12">MIN(G70:J70)</f>
        <v>-98.585111614873739</v>
      </c>
      <c r="M70" s="4">
        <f t="shared" ref="M70:M130" si="13">SMALL(G70:J70,2)</f>
        <v>-98.511818312213336</v>
      </c>
      <c r="N70" s="4">
        <f t="shared" ref="N70:N130" si="14">ABS(L70-M70)</f>
        <v>7.3293302660403015E-2</v>
      </c>
      <c r="P70" s="4">
        <f t="shared" ref="P70:P130" si="15">_xlfn.XLOOKUP(L70,G70:J70,C70:F70)</f>
        <v>-35.040950608989903</v>
      </c>
      <c r="Q70" s="4">
        <f t="shared" ref="Q70:Q130" si="16">_xlfn.XLOOKUP(M70,G70:J70,C70:F70)</f>
        <v>-161.86674645039855</v>
      </c>
      <c r="R70" s="4">
        <f t="shared" ref="R70:R130" si="17">ABS(P70-Q70)</f>
        <v>126.82579584140865</v>
      </c>
      <c r="T70" s="4">
        <f t="shared" ref="T70:T130" si="18">DEGREES(ATAN(N70/R70))</f>
        <v>3.3111532347647223E-2</v>
      </c>
      <c r="W70" s="8">
        <f t="shared" ref="W70:W130" si="19">IF((G70&lt;=SMALL($G70:$J70,2)), 2.803, 0)</f>
        <v>2.8029999999999999</v>
      </c>
      <c r="X70" s="8">
        <f t="shared" si="9"/>
        <v>0</v>
      </c>
      <c r="Y70" s="8">
        <f t="shared" si="10"/>
        <v>0</v>
      </c>
      <c r="Z70" s="8">
        <f t="shared" si="11"/>
        <v>2.8029999999999999</v>
      </c>
    </row>
    <row r="71" spans="1:26" x14ac:dyDescent="0.3">
      <c r="A71" s="4">
        <v>67</v>
      </c>
      <c r="B71" s="4">
        <v>2.6400000000000015</v>
      </c>
      <c r="C71" s="4">
        <v>-39.513063495946888</v>
      </c>
      <c r="D71" s="4">
        <v>-84.921045189850076</v>
      </c>
      <c r="E71" s="4">
        <v>24.657682526323427</v>
      </c>
      <c r="F71" s="4">
        <v>-165.42462113764816</v>
      </c>
      <c r="G71" s="4">
        <v>-98.544328856142656</v>
      </c>
      <c r="H71" s="4">
        <v>-93.172906833864076</v>
      </c>
      <c r="I71" s="4">
        <v>-84.500936275146401</v>
      </c>
      <c r="J71" s="4">
        <v>-98.395988447222223</v>
      </c>
      <c r="L71" s="4">
        <f t="shared" si="12"/>
        <v>-98.544328856142656</v>
      </c>
      <c r="M71" s="4">
        <f t="shared" si="13"/>
        <v>-98.395988447222223</v>
      </c>
      <c r="N71" s="4">
        <f t="shared" si="14"/>
        <v>0.14834040892043276</v>
      </c>
      <c r="P71" s="4">
        <f t="shared" si="15"/>
        <v>-39.513063495946888</v>
      </c>
      <c r="Q71" s="4">
        <f t="shared" si="16"/>
        <v>-165.42462113764816</v>
      </c>
      <c r="R71" s="4">
        <f t="shared" si="17"/>
        <v>125.91155764170128</v>
      </c>
      <c r="T71" s="4">
        <f t="shared" si="18"/>
        <v>6.7501948107551835E-2</v>
      </c>
      <c r="W71" s="8">
        <f t="shared" si="19"/>
        <v>2.8029999999999999</v>
      </c>
      <c r="X71" s="8">
        <f t="shared" si="9"/>
        <v>0</v>
      </c>
      <c r="Y71" s="8">
        <f t="shared" si="10"/>
        <v>0</v>
      </c>
      <c r="Z71" s="8">
        <f t="shared" si="11"/>
        <v>2.8029999999999999</v>
      </c>
    </row>
    <row r="72" spans="1:26" x14ac:dyDescent="0.3">
      <c r="A72" s="4">
        <v>68</v>
      </c>
      <c r="B72" s="4">
        <v>2.6800000000000015</v>
      </c>
      <c r="C72" s="4">
        <v>-43.907028697585687</v>
      </c>
      <c r="D72" s="4">
        <v>-82.988347909421762</v>
      </c>
      <c r="E72" s="4">
        <v>28.358129320886007</v>
      </c>
      <c r="F72" s="4">
        <v>-168.81324971373962</v>
      </c>
      <c r="G72" s="4">
        <v>-98.440089607900262</v>
      </c>
      <c r="H72" s="4">
        <v>-93.944726395209699</v>
      </c>
      <c r="I72" s="4">
        <v>-87.293838580567183</v>
      </c>
      <c r="J72" s="4">
        <v>-98.18730462769625</v>
      </c>
      <c r="L72" s="4">
        <f t="shared" si="12"/>
        <v>-98.440089607900262</v>
      </c>
      <c r="M72" s="4">
        <f t="shared" si="13"/>
        <v>-98.18730462769625</v>
      </c>
      <c r="N72" s="4">
        <f t="shared" si="14"/>
        <v>0.2527849802040123</v>
      </c>
      <c r="P72" s="4">
        <f t="shared" si="15"/>
        <v>-43.907028697585687</v>
      </c>
      <c r="Q72" s="4">
        <f t="shared" si="16"/>
        <v>-168.81324971373962</v>
      </c>
      <c r="R72" s="4">
        <f t="shared" si="17"/>
        <v>124.90622101615394</v>
      </c>
      <c r="T72" s="4">
        <f t="shared" si="18"/>
        <v>0.1159549348186957</v>
      </c>
      <c r="W72" s="8">
        <f t="shared" si="19"/>
        <v>2.8029999999999999</v>
      </c>
      <c r="X72" s="8">
        <f t="shared" si="9"/>
        <v>0</v>
      </c>
      <c r="Y72" s="8">
        <f t="shared" si="10"/>
        <v>0</v>
      </c>
      <c r="Z72" s="8">
        <f t="shared" si="11"/>
        <v>2.8029999999999999</v>
      </c>
    </row>
    <row r="73" spans="1:26" x14ac:dyDescent="0.3">
      <c r="A73" s="4">
        <v>69</v>
      </c>
      <c r="B73" s="4">
        <v>2.7200000000000015</v>
      </c>
      <c r="C73" s="4">
        <v>-48.165325821847908</v>
      </c>
      <c r="D73" s="4">
        <v>-82.260538277494177</v>
      </c>
      <c r="E73" s="4">
        <v>30.813830931869958</v>
      </c>
      <c r="F73" s="4">
        <v>-171.98776093896007</v>
      </c>
      <c r="G73" s="4">
        <v>-98.26111441835657</v>
      </c>
      <c r="H73" s="4">
        <v>-94.614662749980837</v>
      </c>
      <c r="I73" s="4">
        <v>-89.579077912395107</v>
      </c>
      <c r="J73" s="4">
        <v>-97.866261997797892</v>
      </c>
      <c r="L73" s="4">
        <f t="shared" si="12"/>
        <v>-98.26111441835657</v>
      </c>
      <c r="M73" s="4">
        <f t="shared" si="13"/>
        <v>-97.866261997797892</v>
      </c>
      <c r="N73" s="4">
        <f t="shared" si="14"/>
        <v>0.39485242055867786</v>
      </c>
      <c r="P73" s="4">
        <f t="shared" si="15"/>
        <v>-48.165325821847908</v>
      </c>
      <c r="Q73" s="4">
        <f t="shared" si="16"/>
        <v>-171.98776093896007</v>
      </c>
      <c r="R73" s="4">
        <f t="shared" si="17"/>
        <v>123.82243511711215</v>
      </c>
      <c r="T73" s="4">
        <f t="shared" si="18"/>
        <v>0.18270760483099988</v>
      </c>
      <c r="W73" s="8">
        <f t="shared" si="19"/>
        <v>2.8029999999999999</v>
      </c>
      <c r="X73" s="8">
        <f t="shared" si="9"/>
        <v>0</v>
      </c>
      <c r="Y73" s="8">
        <f t="shared" si="10"/>
        <v>0</v>
      </c>
      <c r="Z73" s="8">
        <f t="shared" si="11"/>
        <v>2.8029999999999999</v>
      </c>
    </row>
    <row r="74" spans="1:26" x14ac:dyDescent="0.3">
      <c r="A74" s="4">
        <v>70</v>
      </c>
      <c r="B74" s="4">
        <v>2.7600000000000016</v>
      </c>
      <c r="C74" s="4">
        <v>-52.22306635930159</v>
      </c>
      <c r="D74" s="4">
        <v>-82.580229609871878</v>
      </c>
      <c r="E74" s="4">
        <v>32.151116156345211</v>
      </c>
      <c r="F74" s="4">
        <v>-174.89183778864191</v>
      </c>
      <c r="G74" s="4">
        <v>-98.001511981340414</v>
      </c>
      <c r="H74" s="4">
        <v>-95.235704288105197</v>
      </c>
      <c r="I74" s="4">
        <v>-91.461600403112413</v>
      </c>
      <c r="J74" s="4">
        <v>-97.41520543473014</v>
      </c>
      <c r="L74" s="4">
        <f t="shared" si="12"/>
        <v>-98.001511981340414</v>
      </c>
      <c r="M74" s="4">
        <f t="shared" si="13"/>
        <v>-97.41520543473014</v>
      </c>
      <c r="N74" s="4">
        <f t="shared" si="14"/>
        <v>0.58630654661027393</v>
      </c>
      <c r="P74" s="4">
        <f t="shared" si="15"/>
        <v>-52.22306635930159</v>
      </c>
      <c r="Q74" s="4">
        <f t="shared" si="16"/>
        <v>-174.89183778864191</v>
      </c>
      <c r="R74" s="4">
        <f t="shared" si="17"/>
        <v>122.66877142934032</v>
      </c>
      <c r="T74" s="4">
        <f t="shared" si="18"/>
        <v>0.27384830246197234</v>
      </c>
      <c r="W74" s="8">
        <f t="shared" si="19"/>
        <v>2.8029999999999999</v>
      </c>
      <c r="X74" s="8">
        <f t="shared" si="9"/>
        <v>0</v>
      </c>
      <c r="Y74" s="8">
        <f t="shared" si="10"/>
        <v>0</v>
      </c>
      <c r="Z74" s="8">
        <f t="shared" si="11"/>
        <v>2.8029999999999999</v>
      </c>
    </row>
    <row r="75" spans="1:26" x14ac:dyDescent="0.3">
      <c r="A75" s="4">
        <v>71</v>
      </c>
      <c r="B75" s="4">
        <v>2.8000000000000016</v>
      </c>
      <c r="C75" s="4">
        <v>-56.007569596897092</v>
      </c>
      <c r="D75" s="4">
        <v>-83.795396096312672</v>
      </c>
      <c r="E75" s="4">
        <v>32.508698287670256</v>
      </c>
      <c r="F75" s="4">
        <v>-177.45704372185224</v>
      </c>
      <c r="G75" s="4">
        <v>-97.661174586831933</v>
      </c>
      <c r="H75" s="4">
        <v>-95.826866905405396</v>
      </c>
      <c r="I75" s="4">
        <v>-93.023797830341181</v>
      </c>
      <c r="J75" s="4">
        <v>-96.817988843613833</v>
      </c>
      <c r="L75" s="4">
        <f t="shared" si="12"/>
        <v>-97.661174586831933</v>
      </c>
      <c r="M75" s="4">
        <f t="shared" si="13"/>
        <v>-96.817988843613833</v>
      </c>
      <c r="N75" s="4">
        <f t="shared" si="14"/>
        <v>0.84318574321810047</v>
      </c>
      <c r="P75" s="4">
        <f t="shared" si="15"/>
        <v>-56.007569596897092</v>
      </c>
      <c r="Q75" s="4">
        <f t="shared" si="16"/>
        <v>-177.45704372185224</v>
      </c>
      <c r="R75" s="4">
        <f t="shared" si="17"/>
        <v>121.44947412495515</v>
      </c>
      <c r="T75" s="4">
        <f t="shared" si="18"/>
        <v>0.39778029992631797</v>
      </c>
      <c r="W75" s="8">
        <f t="shared" si="19"/>
        <v>2.8029999999999999</v>
      </c>
      <c r="X75" s="8">
        <f t="shared" si="9"/>
        <v>0</v>
      </c>
      <c r="Y75" s="8">
        <f t="shared" si="10"/>
        <v>0</v>
      </c>
      <c r="Z75" s="8">
        <f t="shared" si="11"/>
        <v>2.8029999999999999</v>
      </c>
    </row>
    <row r="76" spans="1:26" x14ac:dyDescent="0.3">
      <c r="A76" s="4">
        <v>72</v>
      </c>
      <c r="B76" s="4">
        <v>2.8400000000000016</v>
      </c>
      <c r="C76" s="4">
        <v>-59.437485390037516</v>
      </c>
      <c r="D76" s="4">
        <v>-85.766271282066597</v>
      </c>
      <c r="E76" s="4">
        <v>32.02529702883686</v>
      </c>
      <c r="F76" s="4">
        <v>-179.6020989137312</v>
      </c>
      <c r="G76" s="4">
        <v>-97.245614899648217</v>
      </c>
      <c r="H76" s="4">
        <v>-96.387269253458271</v>
      </c>
      <c r="I76" s="4">
        <v>-94.32456658799984</v>
      </c>
      <c r="J76" s="4">
        <v>-96.05894097274161</v>
      </c>
      <c r="L76" s="4">
        <f t="shared" si="12"/>
        <v>-97.245614899648217</v>
      </c>
      <c r="M76" s="4">
        <f t="shared" si="13"/>
        <v>-96.387269253458271</v>
      </c>
      <c r="N76" s="4">
        <f t="shared" si="14"/>
        <v>0.85834564618994591</v>
      </c>
      <c r="P76" s="4">
        <f t="shared" si="15"/>
        <v>-59.437485390037516</v>
      </c>
      <c r="Q76" s="4">
        <f t="shared" si="16"/>
        <v>-85.766271282066597</v>
      </c>
      <c r="R76" s="4">
        <f t="shared" si="17"/>
        <v>26.328785892029082</v>
      </c>
      <c r="T76" s="4">
        <f t="shared" si="18"/>
        <v>1.8672403299382423</v>
      </c>
      <c r="W76" s="8">
        <f t="shared" si="19"/>
        <v>2.8029999999999999</v>
      </c>
      <c r="X76" s="8">
        <f t="shared" si="9"/>
        <v>2.8029999999999999</v>
      </c>
      <c r="Y76" s="8">
        <f t="shared" si="10"/>
        <v>0</v>
      </c>
      <c r="Z76" s="8">
        <f t="shared" si="11"/>
        <v>0</v>
      </c>
    </row>
    <row r="77" spans="1:26" x14ac:dyDescent="0.3">
      <c r="A77" s="4">
        <v>73</v>
      </c>
      <c r="B77" s="4">
        <v>2.8800000000000017</v>
      </c>
      <c r="C77" s="4">
        <v>-62.421556589649214</v>
      </c>
      <c r="D77" s="4">
        <v>-88.367282177606455</v>
      </c>
      <c r="E77" s="4">
        <v>30.831630071030318</v>
      </c>
      <c r="F77" s="4">
        <v>-181.23218662514466</v>
      </c>
      <c r="G77" s="4">
        <v>-96.765152908180823</v>
      </c>
      <c r="H77" s="4">
        <v>-96.906158548932979</v>
      </c>
      <c r="I77" s="4">
        <v>-95.404090353571164</v>
      </c>
      <c r="J77" s="4">
        <v>-95.120943122951104</v>
      </c>
      <c r="L77" s="4">
        <f t="shared" si="12"/>
        <v>-96.906158548932979</v>
      </c>
      <c r="M77" s="4">
        <f t="shared" si="13"/>
        <v>-96.765152908180823</v>
      </c>
      <c r="N77" s="4">
        <f t="shared" si="14"/>
        <v>0.14100564075215516</v>
      </c>
      <c r="P77" s="4">
        <f t="shared" si="15"/>
        <v>-88.367282177606455</v>
      </c>
      <c r="Q77" s="4">
        <f t="shared" si="16"/>
        <v>-62.421556589649214</v>
      </c>
      <c r="R77" s="4">
        <f t="shared" si="17"/>
        <v>25.945725587957241</v>
      </c>
      <c r="T77" s="4">
        <f t="shared" si="18"/>
        <v>0.31137878714658779</v>
      </c>
      <c r="W77" s="8">
        <f t="shared" si="19"/>
        <v>2.8029999999999999</v>
      </c>
      <c r="X77" s="8">
        <f t="shared" si="9"/>
        <v>2.8029999999999999</v>
      </c>
      <c r="Y77" s="8">
        <f t="shared" si="10"/>
        <v>0</v>
      </c>
      <c r="Z77" s="8">
        <f t="shared" si="11"/>
        <v>0</v>
      </c>
    </row>
    <row r="78" spans="1:26" x14ac:dyDescent="0.3">
      <c r="A78" s="4">
        <v>74</v>
      </c>
      <c r="B78" s="4">
        <v>2.9200000000000017</v>
      </c>
      <c r="C78" s="4">
        <v>-64.857141385267624</v>
      </c>
      <c r="D78" s="4">
        <v>-91.486657902527682</v>
      </c>
      <c r="E78" s="4">
        <v>29.046254130302856</v>
      </c>
      <c r="F78" s="4">
        <v>-182.23856264107252</v>
      </c>
      <c r="G78" s="4">
        <v>-96.233216252821165</v>
      </c>
      <c r="H78" s="4">
        <v>-97.369624884007607</v>
      </c>
      <c r="I78" s="4">
        <v>-96.289815179820877</v>
      </c>
      <c r="J78" s="4">
        <v>-93.982384849442994</v>
      </c>
      <c r="L78" s="4">
        <f t="shared" si="12"/>
        <v>-97.369624884007607</v>
      </c>
      <c r="M78" s="4">
        <f t="shared" si="13"/>
        <v>-96.289815179820877</v>
      </c>
      <c r="N78" s="4">
        <f t="shared" si="14"/>
        <v>1.0798097041867294</v>
      </c>
      <c r="P78" s="4">
        <f t="shared" si="15"/>
        <v>-91.486657902527682</v>
      </c>
      <c r="Q78" s="4">
        <f t="shared" si="16"/>
        <v>29.046254130302856</v>
      </c>
      <c r="R78" s="4">
        <f t="shared" si="17"/>
        <v>120.53291203283054</v>
      </c>
      <c r="T78" s="4">
        <f t="shared" si="18"/>
        <v>0.51327793077262651</v>
      </c>
      <c r="W78" s="8">
        <f t="shared" si="19"/>
        <v>0</v>
      </c>
      <c r="X78" s="8">
        <f t="shared" si="9"/>
        <v>2.8029999999999999</v>
      </c>
      <c r="Y78" s="8">
        <f t="shared" si="10"/>
        <v>2.8029999999999999</v>
      </c>
      <c r="Z78" s="8">
        <f t="shared" si="11"/>
        <v>0</v>
      </c>
    </row>
    <row r="79" spans="1:26" x14ac:dyDescent="0.3">
      <c r="A79" s="4">
        <v>75</v>
      </c>
      <c r="B79" s="4">
        <v>2.9600000000000017</v>
      </c>
      <c r="C79" s="4">
        <v>-66.628695646768833</v>
      </c>
      <c r="D79" s="4">
        <v>-95.025116833587049</v>
      </c>
      <c r="E79" s="4">
        <v>26.773990415695991</v>
      </c>
      <c r="F79" s="4">
        <v>-182.49900175711036</v>
      </c>
      <c r="G79" s="4">
        <v>-95.663348862642763</v>
      </c>
      <c r="H79" s="4">
        <v>-97.764877746379554</v>
      </c>
      <c r="I79" s="4">
        <v>-97.001706254275817</v>
      </c>
      <c r="J79" s="4">
        <v>-92.61281673232061</v>
      </c>
      <c r="L79" s="4">
        <f t="shared" si="12"/>
        <v>-97.764877746379554</v>
      </c>
      <c r="M79" s="4">
        <f t="shared" si="13"/>
        <v>-97.001706254275817</v>
      </c>
      <c r="N79" s="4">
        <f t="shared" si="14"/>
        <v>0.76317149210373714</v>
      </c>
      <c r="P79" s="4">
        <f t="shared" si="15"/>
        <v>-95.025116833587049</v>
      </c>
      <c r="Q79" s="4">
        <f t="shared" si="16"/>
        <v>26.773990415695991</v>
      </c>
      <c r="R79" s="4">
        <f t="shared" si="17"/>
        <v>121.79910724928304</v>
      </c>
      <c r="T79" s="4">
        <f t="shared" si="18"/>
        <v>0.35900044180474594</v>
      </c>
      <c r="W79" s="8">
        <f t="shared" si="19"/>
        <v>0</v>
      </c>
      <c r="X79" s="8">
        <f t="shared" si="9"/>
        <v>2.8029999999999999</v>
      </c>
      <c r="Y79" s="8">
        <f t="shared" si="10"/>
        <v>2.8029999999999999</v>
      </c>
      <c r="Z79" s="8">
        <f t="shared" si="11"/>
        <v>0</v>
      </c>
    </row>
    <row r="80" spans="1:26" x14ac:dyDescent="0.3">
      <c r="A80" s="4">
        <v>76</v>
      </c>
      <c r="B80" s="4">
        <v>3.0000000000000018</v>
      </c>
      <c r="C80" s="4">
        <v>-67.606625987709947</v>
      </c>
      <c r="D80" s="4">
        <v>-98.894331072917396</v>
      </c>
      <c r="E80" s="4">
        <v>24.105786909501475</v>
      </c>
      <c r="F80" s="4">
        <v>-181.87996992861187</v>
      </c>
      <c r="G80" s="4">
        <v>-95.064331112538042</v>
      </c>
      <c r="H80" s="4">
        <v>-98.082822230964908</v>
      </c>
      <c r="I80" s="4">
        <v>-97.556220007627985</v>
      </c>
      <c r="J80" s="4">
        <v>-90.967394163956683</v>
      </c>
      <c r="L80" s="4">
        <f t="shared" si="12"/>
        <v>-98.082822230964908</v>
      </c>
      <c r="M80" s="4">
        <f t="shared" si="13"/>
        <v>-97.556220007627985</v>
      </c>
      <c r="N80" s="4">
        <f t="shared" si="14"/>
        <v>0.52660222333692275</v>
      </c>
      <c r="P80" s="4">
        <f t="shared" si="15"/>
        <v>-98.894331072917396</v>
      </c>
      <c r="Q80" s="4">
        <f t="shared" si="16"/>
        <v>24.105786909501475</v>
      </c>
      <c r="R80" s="4">
        <f t="shared" si="17"/>
        <v>123.00011798241887</v>
      </c>
      <c r="T80" s="4">
        <f t="shared" si="18"/>
        <v>0.24529976904387815</v>
      </c>
      <c r="W80" s="8">
        <f t="shared" si="19"/>
        <v>0</v>
      </c>
      <c r="X80" s="8">
        <f t="shared" si="9"/>
        <v>2.8029999999999999</v>
      </c>
      <c r="Y80" s="8">
        <f t="shared" si="10"/>
        <v>2.8029999999999999</v>
      </c>
      <c r="Z80" s="8">
        <f t="shared" si="11"/>
        <v>0</v>
      </c>
    </row>
    <row r="81" spans="1:26" x14ac:dyDescent="0.3">
      <c r="A81" s="4">
        <v>77</v>
      </c>
      <c r="B81" s="4">
        <v>3.0400000000000018</v>
      </c>
      <c r="C81" s="4">
        <v>-67.647369082116654</v>
      </c>
      <c r="D81" s="4">
        <v>-103.01550130720958</v>
      </c>
      <c r="E81" s="4">
        <v>21.119234924235599</v>
      </c>
      <c r="F81" s="4">
        <v>-180.24174804006199</v>
      </c>
      <c r="G81" s="4">
        <v>-94.432624074282245</v>
      </c>
      <c r="H81" s="4">
        <v>-98.319476033690904</v>
      </c>
      <c r="I81" s="4">
        <v>-97.969009539315721</v>
      </c>
      <c r="J81" s="4">
        <v>-88.980960043244536</v>
      </c>
      <c r="L81" s="4">
        <f t="shared" si="12"/>
        <v>-98.319476033690904</v>
      </c>
      <c r="M81" s="4">
        <f t="shared" si="13"/>
        <v>-97.969009539315721</v>
      </c>
      <c r="N81" s="4">
        <f t="shared" si="14"/>
        <v>0.3504664943751834</v>
      </c>
      <c r="P81" s="4">
        <f t="shared" si="15"/>
        <v>-103.01550130720958</v>
      </c>
      <c r="Q81" s="4">
        <f t="shared" si="16"/>
        <v>21.119234924235599</v>
      </c>
      <c r="R81" s="4">
        <f t="shared" si="17"/>
        <v>124.13473623144517</v>
      </c>
      <c r="T81" s="4">
        <f t="shared" si="18"/>
        <v>0.16176131070053923</v>
      </c>
      <c r="W81" s="8">
        <f t="shared" si="19"/>
        <v>0</v>
      </c>
      <c r="X81" s="8">
        <f t="shared" si="9"/>
        <v>2.8029999999999999</v>
      </c>
      <c r="Y81" s="8">
        <f t="shared" si="10"/>
        <v>2.8029999999999999</v>
      </c>
      <c r="Z81" s="8">
        <f t="shared" si="11"/>
        <v>0</v>
      </c>
    </row>
    <row r="82" spans="1:26" x14ac:dyDescent="0.3">
      <c r="A82" s="4">
        <v>78</v>
      </c>
      <c r="B82" s="4">
        <v>3.0800000000000018</v>
      </c>
      <c r="C82" s="4">
        <v>-66.596385968662872</v>
      </c>
      <c r="D82" s="4">
        <v>-107.3182098934362</v>
      </c>
      <c r="E82" s="4">
        <v>17.879290275891719</v>
      </c>
      <c r="F82" s="4">
        <v>-177.4476827840729</v>
      </c>
      <c r="G82" s="4">
        <v>-93.741260088445728</v>
      </c>
      <c r="H82" s="4">
        <v>-98.476582342464539</v>
      </c>
      <c r="I82" s="4">
        <v>-98.256573907170974</v>
      </c>
      <c r="J82" s="4">
        <v>-86.56426002348546</v>
      </c>
      <c r="L82" s="4">
        <f t="shared" si="12"/>
        <v>-98.476582342464539</v>
      </c>
      <c r="M82" s="4">
        <f t="shared" si="13"/>
        <v>-98.256573907170974</v>
      </c>
      <c r="N82" s="4">
        <f t="shared" si="14"/>
        <v>0.22000843529356473</v>
      </c>
      <c r="P82" s="4">
        <f t="shared" si="15"/>
        <v>-107.3182098934362</v>
      </c>
      <c r="Q82" s="4">
        <f t="shared" si="16"/>
        <v>17.879290275891719</v>
      </c>
      <c r="R82" s="4">
        <f t="shared" si="17"/>
        <v>125.19750016932792</v>
      </c>
      <c r="T82" s="4">
        <f t="shared" si="18"/>
        <v>0.10068525175786489</v>
      </c>
      <c r="W82" s="8">
        <f t="shared" si="19"/>
        <v>0</v>
      </c>
      <c r="X82" s="8">
        <f t="shared" si="9"/>
        <v>2.8029999999999999</v>
      </c>
      <c r="Y82" s="8">
        <f t="shared" si="10"/>
        <v>2.8029999999999999</v>
      </c>
      <c r="Z82" s="8">
        <f t="shared" si="11"/>
        <v>0</v>
      </c>
    </row>
    <row r="83" spans="1:26" x14ac:dyDescent="0.3">
      <c r="A83" s="4">
        <v>79</v>
      </c>
      <c r="B83" s="4">
        <v>3.1200000000000019</v>
      </c>
      <c r="C83" s="4">
        <v>-64.2971775496638</v>
      </c>
      <c r="D83" s="4">
        <v>-111.73966236991883</v>
      </c>
      <c r="E83" s="4">
        <v>14.438985282872252</v>
      </c>
      <c r="F83" s="4">
        <v>-173.37763885475854</v>
      </c>
      <c r="G83" s="4">
        <v>-92.924587039028552</v>
      </c>
      <c r="H83" s="4">
        <v>-98.561612178538567</v>
      </c>
      <c r="I83" s="4">
        <v>-98.437079985874448</v>
      </c>
      <c r="J83" s="4">
        <v>-83.607876749635011</v>
      </c>
      <c r="L83" s="4">
        <f t="shared" si="12"/>
        <v>-98.561612178538567</v>
      </c>
      <c r="M83" s="4">
        <f t="shared" si="13"/>
        <v>-98.437079985874448</v>
      </c>
      <c r="N83" s="4">
        <f t="shared" si="14"/>
        <v>0.12453219266411963</v>
      </c>
      <c r="P83" s="4">
        <f t="shared" si="15"/>
        <v>-111.73966236991883</v>
      </c>
      <c r="Q83" s="4">
        <f t="shared" si="16"/>
        <v>14.438985282872252</v>
      </c>
      <c r="R83" s="4">
        <f t="shared" si="17"/>
        <v>126.17864765279108</v>
      </c>
      <c r="T83" s="4">
        <f t="shared" si="18"/>
        <v>5.6548131313581156E-2</v>
      </c>
      <c r="W83" s="8">
        <f t="shared" si="19"/>
        <v>0</v>
      </c>
      <c r="X83" s="8">
        <f t="shared" si="9"/>
        <v>2.8029999999999999</v>
      </c>
      <c r="Y83" s="8">
        <f t="shared" si="10"/>
        <v>2.8029999999999999</v>
      </c>
      <c r="Z83" s="8">
        <f t="shared" si="11"/>
        <v>0</v>
      </c>
    </row>
    <row r="84" spans="1:26" x14ac:dyDescent="0.3">
      <c r="A84" s="4">
        <v>80</v>
      </c>
      <c r="B84" s="4">
        <v>3.1600000000000019</v>
      </c>
      <c r="C84" s="4">
        <v>-60.611555606828531</v>
      </c>
      <c r="D84" s="4">
        <v>-116.22440837351253</v>
      </c>
      <c r="E84" s="4">
        <v>10.840072533385722</v>
      </c>
      <c r="F84" s="4">
        <v>-167.94405402577792</v>
      </c>
      <c r="G84" s="4">
        <v>-91.859562956480673</v>
      </c>
      <c r="H84" s="4">
        <v>-98.587213959170555</v>
      </c>
      <c r="I84" s="4">
        <v>-98.530538670818729</v>
      </c>
      <c r="J84" s="4">
        <v>-80.005099403277683</v>
      </c>
      <c r="L84" s="4">
        <f t="shared" si="12"/>
        <v>-98.587213959170555</v>
      </c>
      <c r="M84" s="4">
        <f t="shared" si="13"/>
        <v>-98.530538670818729</v>
      </c>
      <c r="N84" s="4">
        <f t="shared" si="14"/>
        <v>5.6675288351826225E-2</v>
      </c>
      <c r="P84" s="4">
        <f t="shared" si="15"/>
        <v>-116.22440837351253</v>
      </c>
      <c r="Q84" s="4">
        <f t="shared" si="16"/>
        <v>10.840072533385722</v>
      </c>
      <c r="R84" s="4">
        <f t="shared" si="17"/>
        <v>127.06448090689825</v>
      </c>
      <c r="T84" s="4">
        <f t="shared" si="18"/>
        <v>2.555595857099666E-2</v>
      </c>
      <c r="W84" s="8">
        <f t="shared" si="19"/>
        <v>0</v>
      </c>
      <c r="X84" s="8">
        <f t="shared" si="9"/>
        <v>2.8029999999999999</v>
      </c>
      <c r="Y84" s="8">
        <f t="shared" si="10"/>
        <v>2.8029999999999999</v>
      </c>
      <c r="Z84" s="8">
        <f t="shared" si="11"/>
        <v>0</v>
      </c>
    </row>
    <row r="85" spans="1:26" x14ac:dyDescent="0.3">
      <c r="A85" s="4">
        <v>81</v>
      </c>
      <c r="B85" s="4">
        <v>3.200000000000002</v>
      </c>
      <c r="C85" s="4">
        <v>-55.458890768912227</v>
      </c>
      <c r="D85" s="4">
        <v>-120.72459385894</v>
      </c>
      <c r="E85" s="4">
        <v>7.11365001949261</v>
      </c>
      <c r="F85" s="4">
        <v>-161.11731337591345</v>
      </c>
      <c r="G85" s="4">
        <v>-90.34781430080929</v>
      </c>
      <c r="H85" s="4">
        <v>-98.570071941045057</v>
      </c>
      <c r="I85" s="4">
        <v>-98.5584539012915</v>
      </c>
      <c r="J85" s="4">
        <v>-75.719705541842316</v>
      </c>
      <c r="L85" s="4">
        <f t="shared" si="12"/>
        <v>-98.570071941045057</v>
      </c>
      <c r="M85" s="4">
        <f t="shared" si="13"/>
        <v>-98.5584539012915</v>
      </c>
      <c r="N85" s="4">
        <f t="shared" si="14"/>
        <v>1.1618039753557241E-2</v>
      </c>
      <c r="P85" s="4">
        <f t="shared" si="15"/>
        <v>-120.72459385894</v>
      </c>
      <c r="Q85" s="4">
        <f t="shared" si="16"/>
        <v>7.11365001949261</v>
      </c>
      <c r="R85" s="4">
        <f t="shared" si="17"/>
        <v>127.83824387843261</v>
      </c>
      <c r="T85" s="4">
        <f t="shared" si="18"/>
        <v>5.2070853139566569E-3</v>
      </c>
      <c r="W85" s="8">
        <f t="shared" si="19"/>
        <v>0</v>
      </c>
      <c r="X85" s="8">
        <f t="shared" ref="X85:X130" si="20">IF((H85&lt;=SMALL($G85:$J85,2)), 2.803, 0)</f>
        <v>2.8029999999999999</v>
      </c>
      <c r="Y85" s="8">
        <f t="shared" ref="Y85:Y130" si="21">IF((I85&lt;=SMALL($G85:$J85,2)), 2.803, 0)</f>
        <v>2.8029999999999999</v>
      </c>
      <c r="Z85" s="8">
        <f t="shared" ref="Z85:Z130" si="22">IF((J85&lt;=SMALL($G85:$J85,2)), 2.803, 0)</f>
        <v>0</v>
      </c>
    </row>
    <row r="86" spans="1:26" x14ac:dyDescent="0.3">
      <c r="A86" s="4">
        <v>82</v>
      </c>
      <c r="B86" s="4">
        <v>3.240000000000002</v>
      </c>
      <c r="C86" s="4">
        <v>-48.883087614443625</v>
      </c>
      <c r="D86" s="4">
        <v>-125.20066603204768</v>
      </c>
      <c r="E86" s="4">
        <v>3.2808961795339684</v>
      </c>
      <c r="F86" s="4">
        <v>-153.03582249771631</v>
      </c>
      <c r="G86" s="4">
        <v>-88.110350223530162</v>
      </c>
      <c r="H86" s="4">
        <v>-98.529114811329947</v>
      </c>
      <c r="I86" s="4">
        <v>-98.543007319602665</v>
      </c>
      <c r="J86" s="4">
        <v>-70.989172188932756</v>
      </c>
      <c r="L86" s="4">
        <f t="shared" si="12"/>
        <v>-98.543007319602665</v>
      </c>
      <c r="M86" s="4">
        <f t="shared" si="13"/>
        <v>-98.529114811329947</v>
      </c>
      <c r="N86" s="4">
        <f t="shared" si="14"/>
        <v>1.3892508272718374E-2</v>
      </c>
      <c r="P86" s="4">
        <f t="shared" si="15"/>
        <v>3.2808961795339684</v>
      </c>
      <c r="Q86" s="4">
        <f t="shared" si="16"/>
        <v>-125.20066603204768</v>
      </c>
      <c r="R86" s="4">
        <f t="shared" si="17"/>
        <v>128.48156221158166</v>
      </c>
      <c r="T86" s="4">
        <f t="shared" si="18"/>
        <v>6.1953020657111038E-3</v>
      </c>
      <c r="W86" s="8">
        <f t="shared" si="19"/>
        <v>0</v>
      </c>
      <c r="X86" s="8">
        <f t="shared" si="20"/>
        <v>2.8029999999999999</v>
      </c>
      <c r="Y86" s="8">
        <f t="shared" si="21"/>
        <v>2.8029999999999999</v>
      </c>
      <c r="Z86" s="8">
        <f t="shared" si="22"/>
        <v>0</v>
      </c>
    </row>
    <row r="87" spans="1:26" x14ac:dyDescent="0.3">
      <c r="A87" s="4">
        <v>83</v>
      </c>
      <c r="B87" s="4">
        <v>3.280000000000002</v>
      </c>
      <c r="C87" s="4">
        <v>-41.14986796551046</v>
      </c>
      <c r="D87" s="4">
        <v>-129.62225063724333</v>
      </c>
      <c r="E87" s="4">
        <v>-0.64587560585236758</v>
      </c>
      <c r="F87" s="4">
        <v>-144.43171766570839</v>
      </c>
      <c r="G87" s="4">
        <v>-84.821114838929148</v>
      </c>
      <c r="H87" s="4">
        <v>-98.483121639921919</v>
      </c>
      <c r="I87" s="4">
        <v>-98.505811340208226</v>
      </c>
      <c r="J87" s="4">
        <v>-66.948799291270575</v>
      </c>
      <c r="L87" s="4">
        <f t="shared" si="12"/>
        <v>-98.505811340208226</v>
      </c>
      <c r="M87" s="4">
        <f t="shared" si="13"/>
        <v>-98.483121639921919</v>
      </c>
      <c r="N87" s="4">
        <f t="shared" si="14"/>
        <v>2.2689700286306902E-2</v>
      </c>
      <c r="P87" s="4">
        <f t="shared" si="15"/>
        <v>-0.64587560585236758</v>
      </c>
      <c r="Q87" s="4">
        <f t="shared" si="16"/>
        <v>-129.62225063724333</v>
      </c>
      <c r="R87" s="4">
        <f t="shared" si="17"/>
        <v>128.97637503139094</v>
      </c>
      <c r="T87" s="4">
        <f t="shared" si="18"/>
        <v>1.0079551786864567E-2</v>
      </c>
      <c r="W87" s="8">
        <f t="shared" si="19"/>
        <v>0</v>
      </c>
      <c r="X87" s="8">
        <f t="shared" si="20"/>
        <v>2.8029999999999999</v>
      </c>
      <c r="Y87" s="8">
        <f t="shared" si="21"/>
        <v>2.8029999999999999</v>
      </c>
      <c r="Z87" s="8">
        <f t="shared" si="22"/>
        <v>0</v>
      </c>
    </row>
    <row r="88" spans="1:26" x14ac:dyDescent="0.3">
      <c r="A88" s="4">
        <v>84</v>
      </c>
      <c r="B88" s="4">
        <v>3.3200000000000021</v>
      </c>
      <c r="C88" s="4">
        <v>-32.848371159577489</v>
      </c>
      <c r="D88" s="4">
        <v>-133.9686713532715</v>
      </c>
      <c r="E88" s="4">
        <v>-4.6616067011367335</v>
      </c>
      <c r="F88" s="4">
        <v>-136.8185710865973</v>
      </c>
      <c r="G88" s="4">
        <v>-80.230015560273671</v>
      </c>
      <c r="H88" s="4">
        <v>-98.447997045289554</v>
      </c>
      <c r="I88" s="4">
        <v>-98.466277805576311</v>
      </c>
      <c r="J88" s="4">
        <v>-66.276513969267683</v>
      </c>
      <c r="L88" s="4">
        <f t="shared" si="12"/>
        <v>-98.466277805576311</v>
      </c>
      <c r="M88" s="4">
        <f t="shared" si="13"/>
        <v>-98.447997045289554</v>
      </c>
      <c r="N88" s="4">
        <f t="shared" si="14"/>
        <v>1.8280760286756959E-2</v>
      </c>
      <c r="P88" s="4">
        <f t="shared" si="15"/>
        <v>-4.6616067011367335</v>
      </c>
      <c r="Q88" s="4">
        <f t="shared" si="16"/>
        <v>-133.9686713532715</v>
      </c>
      <c r="R88" s="4">
        <f t="shared" si="17"/>
        <v>129.30706465213478</v>
      </c>
      <c r="T88" s="4">
        <f t="shared" si="18"/>
        <v>8.100179263686556E-3</v>
      </c>
      <c r="W88" s="8">
        <f t="shared" si="19"/>
        <v>0</v>
      </c>
      <c r="X88" s="8">
        <f t="shared" si="20"/>
        <v>2.8029999999999999</v>
      </c>
      <c r="Y88" s="8">
        <f t="shared" si="21"/>
        <v>2.8029999999999999</v>
      </c>
      <c r="Z88" s="8">
        <f t="shared" si="22"/>
        <v>0</v>
      </c>
    </row>
    <row r="89" spans="1:26" x14ac:dyDescent="0.3">
      <c r="A89" s="4">
        <v>85</v>
      </c>
      <c r="B89" s="4">
        <v>3.3600000000000021</v>
      </c>
      <c r="C89" s="4">
        <v>-24.874843060520718</v>
      </c>
      <c r="D89" s="4">
        <v>-138.22851062287799</v>
      </c>
      <c r="E89" s="4">
        <v>-8.7661241607028728</v>
      </c>
      <c r="F89" s="4">
        <v>-130.22120457380493</v>
      </c>
      <c r="G89" s="4">
        <v>-74.47548411096264</v>
      </c>
      <c r="H89" s="4">
        <v>-98.434241300781181</v>
      </c>
      <c r="I89" s="4">
        <v>-98.43974027025088</v>
      </c>
      <c r="J89" s="4">
        <v>-70.227256566085586</v>
      </c>
      <c r="L89" s="4">
        <f t="shared" si="12"/>
        <v>-98.43974027025088</v>
      </c>
      <c r="M89" s="4">
        <f t="shared" si="13"/>
        <v>-98.434241300781181</v>
      </c>
      <c r="N89" s="4">
        <f t="shared" si="14"/>
        <v>5.4989694696985225E-3</v>
      </c>
      <c r="P89" s="4">
        <f t="shared" si="15"/>
        <v>-8.7661241607028728</v>
      </c>
      <c r="Q89" s="4">
        <f t="shared" si="16"/>
        <v>-138.22851062287799</v>
      </c>
      <c r="R89" s="4">
        <f t="shared" si="17"/>
        <v>129.46238646217512</v>
      </c>
      <c r="T89" s="4">
        <f t="shared" si="18"/>
        <v>2.4336623996004665E-3</v>
      </c>
      <c r="W89" s="8">
        <f t="shared" si="19"/>
        <v>0</v>
      </c>
      <c r="X89" s="8">
        <f t="shared" si="20"/>
        <v>2.8029999999999999</v>
      </c>
      <c r="Y89" s="8">
        <f t="shared" si="21"/>
        <v>2.8029999999999999</v>
      </c>
      <c r="Z89" s="8">
        <f t="shared" si="22"/>
        <v>0</v>
      </c>
    </row>
    <row r="90" spans="1:26" x14ac:dyDescent="0.3">
      <c r="A90" s="4">
        <v>86</v>
      </c>
      <c r="B90" s="4">
        <v>3.4000000000000021</v>
      </c>
      <c r="C90" s="4">
        <v>-17.91820597378441</v>
      </c>
      <c r="D90" s="4">
        <v>-142.39783975759235</v>
      </c>
      <c r="E90" s="4">
        <v>-12.960992314772227</v>
      </c>
      <c r="F90" s="4">
        <v>-122.96958179631167</v>
      </c>
      <c r="G90" s="4">
        <v>-68.765974396496318</v>
      </c>
      <c r="H90" s="4">
        <v>-98.445221565329888</v>
      </c>
      <c r="I90" s="4">
        <v>-98.435613229671674</v>
      </c>
      <c r="J90" s="4">
        <v>-76.172007777202666</v>
      </c>
      <c r="L90" s="4">
        <f t="shared" si="12"/>
        <v>-98.445221565329888</v>
      </c>
      <c r="M90" s="4">
        <f t="shared" si="13"/>
        <v>-98.435613229671674</v>
      </c>
      <c r="N90" s="4">
        <f t="shared" si="14"/>
        <v>9.6083356582141732E-3</v>
      </c>
      <c r="P90" s="4">
        <f t="shared" si="15"/>
        <v>-142.39783975759235</v>
      </c>
      <c r="Q90" s="4">
        <f t="shared" si="16"/>
        <v>-12.960992314772227</v>
      </c>
      <c r="R90" s="4">
        <f t="shared" si="17"/>
        <v>129.43684744282012</v>
      </c>
      <c r="T90" s="4">
        <f t="shared" si="18"/>
        <v>4.2531712663408166E-3</v>
      </c>
      <c r="W90" s="8">
        <f t="shared" si="19"/>
        <v>0</v>
      </c>
      <c r="X90" s="8">
        <f t="shared" si="20"/>
        <v>2.8029999999999999</v>
      </c>
      <c r="Y90" s="8">
        <f t="shared" si="21"/>
        <v>2.8029999999999999</v>
      </c>
      <c r="Z90" s="8">
        <f t="shared" si="22"/>
        <v>0</v>
      </c>
    </row>
    <row r="91" spans="1:26" x14ac:dyDescent="0.3">
      <c r="A91" s="4">
        <v>87</v>
      </c>
      <c r="B91" s="4">
        <v>3.4400000000000022</v>
      </c>
      <c r="C91" s="4">
        <v>-11.199887252368605</v>
      </c>
      <c r="D91" s="4">
        <v>-146.4772267382059</v>
      </c>
      <c r="E91" s="4">
        <v>-17.2458668037698</v>
      </c>
      <c r="F91" s="4">
        <v>-114.80661761755574</v>
      </c>
      <c r="G91" s="4">
        <v>-65.966313398953673</v>
      </c>
      <c r="H91" s="4">
        <v>-98.476654299226254</v>
      </c>
      <c r="I91" s="4">
        <v>-98.456050854827552</v>
      </c>
      <c r="J91" s="4">
        <v>-81.657662579493874</v>
      </c>
      <c r="L91" s="4">
        <f t="shared" si="12"/>
        <v>-98.476654299226254</v>
      </c>
      <c r="M91" s="4">
        <f t="shared" si="13"/>
        <v>-98.456050854827552</v>
      </c>
      <c r="N91" s="4">
        <f t="shared" si="14"/>
        <v>2.0603444398702209E-2</v>
      </c>
      <c r="P91" s="4">
        <f t="shared" si="15"/>
        <v>-146.4772267382059</v>
      </c>
      <c r="Q91" s="4">
        <f t="shared" si="16"/>
        <v>-17.2458668037698</v>
      </c>
      <c r="R91" s="4">
        <f t="shared" si="17"/>
        <v>129.23135993443611</v>
      </c>
      <c r="T91" s="4">
        <f t="shared" si="18"/>
        <v>9.1347053693085125E-3</v>
      </c>
      <c r="W91" s="8">
        <f t="shared" si="19"/>
        <v>0</v>
      </c>
      <c r="X91" s="8">
        <f t="shared" si="20"/>
        <v>2.8029999999999999</v>
      </c>
      <c r="Y91" s="8">
        <f t="shared" si="21"/>
        <v>2.8029999999999999</v>
      </c>
      <c r="Z91" s="8">
        <f t="shared" si="22"/>
        <v>0</v>
      </c>
    </row>
    <row r="92" spans="1:26" x14ac:dyDescent="0.3">
      <c r="A92" s="4">
        <v>88</v>
      </c>
      <c r="B92" s="4">
        <v>3.4800000000000022</v>
      </c>
      <c r="C92" s="4">
        <v>-3.1792131662688234</v>
      </c>
      <c r="D92" s="4">
        <v>-150.46810335007999</v>
      </c>
      <c r="E92" s="4">
        <v>-21.614969127085885</v>
      </c>
      <c r="F92" s="4">
        <v>-106.58458413116837</v>
      </c>
      <c r="G92" s="4">
        <v>-67.882662827470298</v>
      </c>
      <c r="H92" s="4">
        <v>-98.517292073018453</v>
      </c>
      <c r="I92" s="4">
        <v>-98.49556964719919</v>
      </c>
      <c r="J92" s="4">
        <v>-85.870965633649874</v>
      </c>
      <c r="L92" s="4">
        <f t="shared" si="12"/>
        <v>-98.517292073018453</v>
      </c>
      <c r="M92" s="4">
        <f t="shared" si="13"/>
        <v>-98.49556964719919</v>
      </c>
      <c r="N92" s="4">
        <f t="shared" si="14"/>
        <v>2.172242581926298E-2</v>
      </c>
      <c r="P92" s="4">
        <f t="shared" si="15"/>
        <v>-150.46810335007999</v>
      </c>
      <c r="Q92" s="4">
        <f t="shared" si="16"/>
        <v>-21.614969127085885</v>
      </c>
      <c r="R92" s="4">
        <f t="shared" si="17"/>
        <v>128.8531342229941</v>
      </c>
      <c r="T92" s="4">
        <f t="shared" si="18"/>
        <v>9.6590844758595237E-3</v>
      </c>
      <c r="W92" s="8">
        <f t="shared" si="19"/>
        <v>0</v>
      </c>
      <c r="X92" s="8">
        <f t="shared" si="20"/>
        <v>2.8029999999999999</v>
      </c>
      <c r="Y92" s="8">
        <f t="shared" si="21"/>
        <v>2.8029999999999999</v>
      </c>
      <c r="Z92" s="8">
        <f t="shared" si="22"/>
        <v>0</v>
      </c>
    </row>
    <row r="93" spans="1:26" x14ac:dyDescent="0.3">
      <c r="A93" s="4">
        <v>89</v>
      </c>
      <c r="B93" s="4">
        <v>3.5200000000000022</v>
      </c>
      <c r="C93" s="4">
        <v>5.4123186771353602</v>
      </c>
      <c r="D93" s="4">
        <v>-154.36920899008615</v>
      </c>
      <c r="E93" s="4">
        <v>-26.054396075893933</v>
      </c>
      <c r="F93" s="4">
        <v>-99.132940003828907</v>
      </c>
      <c r="G93" s="4">
        <v>-72.326783388086824</v>
      </c>
      <c r="H93" s="4">
        <v>-98.550459588077146</v>
      </c>
      <c r="I93" s="4">
        <v>-98.541928914959911</v>
      </c>
      <c r="J93" s="4">
        <v>-88.832043937344068</v>
      </c>
      <c r="L93" s="4">
        <f t="shared" si="12"/>
        <v>-98.550459588077146</v>
      </c>
      <c r="M93" s="4">
        <f t="shared" si="13"/>
        <v>-98.541928914959911</v>
      </c>
      <c r="N93" s="4">
        <f t="shared" si="14"/>
        <v>8.5306731172352102E-3</v>
      </c>
      <c r="P93" s="4">
        <f t="shared" si="15"/>
        <v>-154.36920899008615</v>
      </c>
      <c r="Q93" s="4">
        <f t="shared" si="16"/>
        <v>-26.054396075893933</v>
      </c>
      <c r="R93" s="4">
        <f t="shared" si="17"/>
        <v>128.3148129141922</v>
      </c>
      <c r="T93" s="4">
        <f t="shared" si="18"/>
        <v>3.8091593184181689E-3</v>
      </c>
      <c r="W93" s="8">
        <f t="shared" si="19"/>
        <v>0</v>
      </c>
      <c r="X93" s="8">
        <f t="shared" si="20"/>
        <v>2.8029999999999999</v>
      </c>
      <c r="Y93" s="8">
        <f t="shared" si="21"/>
        <v>2.8029999999999999</v>
      </c>
      <c r="Z93" s="8">
        <f t="shared" si="22"/>
        <v>0</v>
      </c>
    </row>
    <row r="94" spans="1:26" x14ac:dyDescent="0.3">
      <c r="A94" s="4">
        <v>90</v>
      </c>
      <c r="B94" s="4">
        <v>3.5600000000000023</v>
      </c>
      <c r="C94" s="4">
        <v>13.176601834880216</v>
      </c>
      <c r="D94" s="4">
        <v>-158.17364826326545</v>
      </c>
      <c r="E94" s="4">
        <v>-30.540735956991441</v>
      </c>
      <c r="F94" s="4">
        <v>-92.942335620912971</v>
      </c>
      <c r="G94" s="4">
        <v>-76.989612330641776</v>
      </c>
      <c r="H94" s="4">
        <v>-98.55594243818426</v>
      </c>
      <c r="I94" s="4">
        <v>-98.57813959673345</v>
      </c>
      <c r="J94" s="4">
        <v>-90.833116652599386</v>
      </c>
      <c r="L94" s="4">
        <f t="shared" si="12"/>
        <v>-98.57813959673345</v>
      </c>
      <c r="M94" s="4">
        <f t="shared" si="13"/>
        <v>-98.55594243818426</v>
      </c>
      <c r="N94" s="4">
        <f t="shared" si="14"/>
        <v>2.2197158549190021E-2</v>
      </c>
      <c r="P94" s="4">
        <f t="shared" si="15"/>
        <v>-30.540735956991441</v>
      </c>
      <c r="Q94" s="4">
        <f t="shared" si="16"/>
        <v>-158.17364826326545</v>
      </c>
      <c r="R94" s="4">
        <f t="shared" si="17"/>
        <v>127.63291230627401</v>
      </c>
      <c r="T94" s="4">
        <f t="shared" si="18"/>
        <v>9.9645417960617846E-3</v>
      </c>
      <c r="W94" s="8">
        <f t="shared" si="19"/>
        <v>0</v>
      </c>
      <c r="X94" s="8">
        <f t="shared" si="20"/>
        <v>2.8029999999999999</v>
      </c>
      <c r="Y94" s="8">
        <f t="shared" si="21"/>
        <v>2.8029999999999999</v>
      </c>
      <c r="Z94" s="8">
        <f t="shared" si="22"/>
        <v>0</v>
      </c>
    </row>
    <row r="95" spans="1:26" x14ac:dyDescent="0.3">
      <c r="A95" s="4">
        <v>91</v>
      </c>
      <c r="B95" s="4">
        <v>3.6000000000000023</v>
      </c>
      <c r="C95" s="4">
        <v>19.614005168487637</v>
      </c>
      <c r="D95" s="4">
        <v>-161.86674661960251</v>
      </c>
      <c r="E95" s="4">
        <v>-35.04095061101328</v>
      </c>
      <c r="F95" s="4">
        <v>-88.204959158159369</v>
      </c>
      <c r="G95" s="4">
        <v>-81.088753468870749</v>
      </c>
      <c r="H95" s="4">
        <v>-98.511818194314387</v>
      </c>
      <c r="I95" s="4">
        <v>-98.585111469291576</v>
      </c>
      <c r="J95" s="4">
        <v>-92.194290556928507</v>
      </c>
      <c r="L95" s="4">
        <f t="shared" si="12"/>
        <v>-98.585111469291576</v>
      </c>
      <c r="M95" s="4">
        <f t="shared" si="13"/>
        <v>-98.511818194314387</v>
      </c>
      <c r="N95" s="4">
        <f t="shared" si="14"/>
        <v>7.3293274977189071E-2</v>
      </c>
      <c r="P95" s="4">
        <f t="shared" si="15"/>
        <v>-35.04095061101328</v>
      </c>
      <c r="Q95" s="4">
        <f t="shared" si="16"/>
        <v>-161.86674661960251</v>
      </c>
      <c r="R95" s="4">
        <f t="shared" si="17"/>
        <v>126.82579600858924</v>
      </c>
      <c r="T95" s="4">
        <f t="shared" si="18"/>
        <v>3.3111519797626277E-2</v>
      </c>
      <c r="W95" s="8">
        <f t="shared" si="19"/>
        <v>0</v>
      </c>
      <c r="X95" s="8">
        <f t="shared" si="20"/>
        <v>2.8029999999999999</v>
      </c>
      <c r="Y95" s="8">
        <f t="shared" si="21"/>
        <v>2.8029999999999999</v>
      </c>
      <c r="Z95" s="8">
        <f t="shared" si="22"/>
        <v>0</v>
      </c>
    </row>
    <row r="96" spans="1:26" x14ac:dyDescent="0.3">
      <c r="A96" s="4">
        <v>92</v>
      </c>
      <c r="B96" s="4">
        <v>3.6400000000000023</v>
      </c>
      <c r="C96" s="4">
        <v>24.657684013476725</v>
      </c>
      <c r="D96" s="4">
        <v>-165.42462357919251</v>
      </c>
      <c r="E96" s="4">
        <v>-39.513063607069853</v>
      </c>
      <c r="F96" s="4">
        <v>-84.921047423852372</v>
      </c>
      <c r="G96" s="4">
        <v>-84.500935076717326</v>
      </c>
      <c r="H96" s="4">
        <v>-98.395987720872128</v>
      </c>
      <c r="I96" s="4">
        <v>-98.544328292162135</v>
      </c>
      <c r="J96" s="4">
        <v>-93.172905988906535</v>
      </c>
      <c r="L96" s="4">
        <f t="shared" si="12"/>
        <v>-98.544328292162135</v>
      </c>
      <c r="M96" s="4">
        <f t="shared" si="13"/>
        <v>-98.395987720872128</v>
      </c>
      <c r="N96" s="4">
        <f t="shared" si="14"/>
        <v>0.14834057129000655</v>
      </c>
      <c r="P96" s="4">
        <f t="shared" si="15"/>
        <v>-39.513063607069853</v>
      </c>
      <c r="Q96" s="4">
        <f t="shared" si="16"/>
        <v>-165.42462357919251</v>
      </c>
      <c r="R96" s="4">
        <f t="shared" si="17"/>
        <v>125.91155997212266</v>
      </c>
      <c r="T96" s="4">
        <f t="shared" si="18"/>
        <v>6.7502020744016289E-2</v>
      </c>
      <c r="W96" s="8">
        <f t="shared" si="19"/>
        <v>0</v>
      </c>
      <c r="X96" s="8">
        <f t="shared" si="20"/>
        <v>2.8029999999999999</v>
      </c>
      <c r="Y96" s="8">
        <f t="shared" si="21"/>
        <v>2.8029999999999999</v>
      </c>
      <c r="Z96" s="8">
        <f t="shared" si="22"/>
        <v>0</v>
      </c>
    </row>
    <row r="97" spans="1:26" x14ac:dyDescent="0.3">
      <c r="A97" s="4">
        <v>93</v>
      </c>
      <c r="B97" s="4">
        <v>3.6800000000000024</v>
      </c>
      <c r="C97" s="4">
        <v>28.358129320889745</v>
      </c>
      <c r="D97" s="4">
        <v>-168.81324971374528</v>
      </c>
      <c r="E97" s="4">
        <v>-43.907028697586355</v>
      </c>
      <c r="F97" s="4">
        <v>-82.988347909425798</v>
      </c>
      <c r="G97" s="4">
        <v>-87.293838580566131</v>
      </c>
      <c r="H97" s="4">
        <v>-98.187304627695923</v>
      </c>
      <c r="I97" s="4">
        <v>-98.440089607900063</v>
      </c>
      <c r="J97" s="4">
        <v>-93.9447263952095</v>
      </c>
      <c r="L97" s="4">
        <f t="shared" si="12"/>
        <v>-98.440089607900063</v>
      </c>
      <c r="M97" s="4">
        <f t="shared" si="13"/>
        <v>-98.187304627695923</v>
      </c>
      <c r="N97" s="4">
        <f t="shared" si="14"/>
        <v>0.2527849802041402</v>
      </c>
      <c r="P97" s="4">
        <f t="shared" si="15"/>
        <v>-43.907028697586355</v>
      </c>
      <c r="Q97" s="4">
        <f t="shared" si="16"/>
        <v>-168.81324971374528</v>
      </c>
      <c r="R97" s="4">
        <f t="shared" si="17"/>
        <v>124.90622101615892</v>
      </c>
      <c r="T97" s="4">
        <f t="shared" si="18"/>
        <v>0.11595493481874973</v>
      </c>
      <c r="W97" s="8">
        <f t="shared" si="19"/>
        <v>0</v>
      </c>
      <c r="X97" s="8">
        <f t="shared" si="20"/>
        <v>2.8029999999999999</v>
      </c>
      <c r="Y97" s="8">
        <f t="shared" si="21"/>
        <v>2.8029999999999999</v>
      </c>
      <c r="Z97" s="8">
        <f t="shared" si="22"/>
        <v>0</v>
      </c>
    </row>
    <row r="98" spans="1:26" x14ac:dyDescent="0.3">
      <c r="A98" s="4">
        <v>94</v>
      </c>
      <c r="B98" s="4">
        <v>3.7200000000000024</v>
      </c>
      <c r="C98" s="4">
        <v>30.813830931866136</v>
      </c>
      <c r="D98" s="4">
        <v>-171.98776093895395</v>
      </c>
      <c r="E98" s="4">
        <v>-48.165325821847183</v>
      </c>
      <c r="F98" s="4">
        <v>-82.2605382774898</v>
      </c>
      <c r="G98" s="4">
        <v>-89.579077912393956</v>
      </c>
      <c r="H98" s="4">
        <v>-97.866261997797281</v>
      </c>
      <c r="I98" s="4">
        <v>-98.261114418356357</v>
      </c>
      <c r="J98" s="4">
        <v>-94.614662749980511</v>
      </c>
      <c r="L98" s="4">
        <f t="shared" si="12"/>
        <v>-98.261114418356357</v>
      </c>
      <c r="M98" s="4">
        <f t="shared" si="13"/>
        <v>-97.866261997797281</v>
      </c>
      <c r="N98" s="4">
        <f t="shared" si="14"/>
        <v>0.39485242055907577</v>
      </c>
      <c r="P98" s="4">
        <f t="shared" si="15"/>
        <v>-48.165325821847183</v>
      </c>
      <c r="Q98" s="4">
        <f t="shared" si="16"/>
        <v>-171.98776093895395</v>
      </c>
      <c r="R98" s="4">
        <f t="shared" si="17"/>
        <v>123.82243511710678</v>
      </c>
      <c r="T98" s="4">
        <f t="shared" si="18"/>
        <v>0.18270760483119194</v>
      </c>
      <c r="W98" s="8">
        <f t="shared" si="19"/>
        <v>0</v>
      </c>
      <c r="X98" s="8">
        <f t="shared" si="20"/>
        <v>2.8029999999999999</v>
      </c>
      <c r="Y98" s="8">
        <f t="shared" si="21"/>
        <v>2.8029999999999999</v>
      </c>
      <c r="Z98" s="8">
        <f t="shared" si="22"/>
        <v>0</v>
      </c>
    </row>
    <row r="99" spans="1:26" x14ac:dyDescent="0.3">
      <c r="A99" s="4">
        <v>95</v>
      </c>
      <c r="B99" s="4">
        <v>3.7600000000000025</v>
      </c>
      <c r="C99" s="4">
        <v>32.151116156345878</v>
      </c>
      <c r="D99" s="4">
        <v>-174.89183778864108</v>
      </c>
      <c r="E99" s="4">
        <v>-52.223066359302393</v>
      </c>
      <c r="F99" s="4">
        <v>-82.580229609871779</v>
      </c>
      <c r="G99" s="4">
        <v>-91.461600403111603</v>
      </c>
      <c r="H99" s="4">
        <v>-97.415205434730197</v>
      </c>
      <c r="I99" s="4">
        <v>-98.001511981340514</v>
      </c>
      <c r="J99" s="4">
        <v>-95.235704288105211</v>
      </c>
      <c r="L99" s="4">
        <f t="shared" si="12"/>
        <v>-98.001511981340514</v>
      </c>
      <c r="M99" s="4">
        <f t="shared" si="13"/>
        <v>-97.415205434730197</v>
      </c>
      <c r="N99" s="4">
        <f t="shared" si="14"/>
        <v>0.58630654661031656</v>
      </c>
      <c r="P99" s="4">
        <f t="shared" si="15"/>
        <v>-52.223066359302393</v>
      </c>
      <c r="Q99" s="4">
        <f t="shared" si="16"/>
        <v>-174.89183778864108</v>
      </c>
      <c r="R99" s="4">
        <f t="shared" si="17"/>
        <v>122.66877142933869</v>
      </c>
      <c r="T99" s="4">
        <f t="shared" si="18"/>
        <v>0.27384830246199593</v>
      </c>
      <c r="W99" s="8">
        <f t="shared" si="19"/>
        <v>0</v>
      </c>
      <c r="X99" s="8">
        <f t="shared" si="20"/>
        <v>2.8029999999999999</v>
      </c>
      <c r="Y99" s="8">
        <f t="shared" si="21"/>
        <v>2.8029999999999999</v>
      </c>
      <c r="Z99" s="8">
        <f t="shared" si="22"/>
        <v>0</v>
      </c>
    </row>
    <row r="100" spans="1:26" x14ac:dyDescent="0.3">
      <c r="A100" s="4">
        <v>96</v>
      </c>
      <c r="B100" s="4">
        <v>3.8000000000000025</v>
      </c>
      <c r="C100" s="4">
        <v>32.5086982876702</v>
      </c>
      <c r="D100" s="4">
        <v>-177.45704372184522</v>
      </c>
      <c r="E100" s="4">
        <v>-56.007569596901895</v>
      </c>
      <c r="F100" s="4">
        <v>-83.795396096309531</v>
      </c>
      <c r="G100" s="4">
        <v>-93.023797830344861</v>
      </c>
      <c r="H100" s="4">
        <v>-96.817988843619133</v>
      </c>
      <c r="I100" s="4">
        <v>-97.661174586834491</v>
      </c>
      <c r="J100" s="4">
        <v>-95.826866905408494</v>
      </c>
      <c r="L100" s="4">
        <f t="shared" si="12"/>
        <v>-97.661174586834491</v>
      </c>
      <c r="M100" s="4">
        <f t="shared" si="13"/>
        <v>-96.817988843619133</v>
      </c>
      <c r="N100" s="4">
        <f t="shared" si="14"/>
        <v>0.84318574321535777</v>
      </c>
      <c r="P100" s="4">
        <f t="shared" si="15"/>
        <v>-56.007569596901895</v>
      </c>
      <c r="Q100" s="4">
        <f t="shared" si="16"/>
        <v>-177.45704372184522</v>
      </c>
      <c r="R100" s="4">
        <f t="shared" si="17"/>
        <v>121.44947412494332</v>
      </c>
      <c r="T100" s="4">
        <f t="shared" si="18"/>
        <v>0.39778029992506286</v>
      </c>
      <c r="W100" s="8">
        <f t="shared" si="19"/>
        <v>0</v>
      </c>
      <c r="X100" s="8">
        <f t="shared" si="20"/>
        <v>2.8029999999999999</v>
      </c>
      <c r="Y100" s="8">
        <f t="shared" si="21"/>
        <v>2.8029999999999999</v>
      </c>
      <c r="Z100" s="8">
        <f t="shared" si="22"/>
        <v>0</v>
      </c>
    </row>
    <row r="101" spans="1:26" x14ac:dyDescent="0.3">
      <c r="A101" s="4">
        <v>97</v>
      </c>
      <c r="B101" s="4">
        <v>3.8400000000000025</v>
      </c>
      <c r="C101" s="4">
        <v>32.025297028834615</v>
      </c>
      <c r="D101" s="4">
        <v>-179.6020989137229</v>
      </c>
      <c r="E101" s="4">
        <v>-59.437485390040088</v>
      </c>
      <c r="F101" s="4">
        <v>-85.766271282059733</v>
      </c>
      <c r="G101" s="4">
        <v>-94.324566588015273</v>
      </c>
      <c r="H101" s="4">
        <v>-96.058940972756659</v>
      </c>
      <c r="I101" s="4">
        <v>-97.245614899650192</v>
      </c>
      <c r="J101" s="4">
        <v>-96.38726925346046</v>
      </c>
      <c r="L101" s="4">
        <f t="shared" si="12"/>
        <v>-97.245614899650192</v>
      </c>
      <c r="M101" s="4">
        <f t="shared" si="13"/>
        <v>-96.38726925346046</v>
      </c>
      <c r="N101" s="4">
        <f t="shared" si="14"/>
        <v>0.85834564618973275</v>
      </c>
      <c r="P101" s="4">
        <f t="shared" si="15"/>
        <v>-59.437485390040088</v>
      </c>
      <c r="Q101" s="4">
        <f t="shared" si="16"/>
        <v>-85.766271282059733</v>
      </c>
      <c r="R101" s="4">
        <f t="shared" si="17"/>
        <v>26.328785892019646</v>
      </c>
      <c r="T101" s="4">
        <f t="shared" si="18"/>
        <v>1.8672403299384479</v>
      </c>
      <c r="W101" s="8">
        <f t="shared" si="19"/>
        <v>0</v>
      </c>
      <c r="X101" s="8">
        <f t="shared" si="20"/>
        <v>0</v>
      </c>
      <c r="Y101" s="8">
        <f t="shared" si="21"/>
        <v>2.8029999999999999</v>
      </c>
      <c r="Z101" s="8">
        <f t="shared" si="22"/>
        <v>2.8029999999999999</v>
      </c>
    </row>
    <row r="102" spans="1:26" x14ac:dyDescent="0.3">
      <c r="A102" s="4">
        <v>98</v>
      </c>
      <c r="B102" s="4">
        <v>3.8800000000000026</v>
      </c>
      <c r="C102" s="4">
        <v>30.831630071031171</v>
      </c>
      <c r="D102" s="4">
        <v>-181.232186625146</v>
      </c>
      <c r="E102" s="4">
        <v>-62.421556589648489</v>
      </c>
      <c r="F102" s="4">
        <v>-88.36728217760718</v>
      </c>
      <c r="G102" s="4">
        <v>-95.404090353569885</v>
      </c>
      <c r="H102" s="4">
        <v>-95.120943122950223</v>
      </c>
      <c r="I102" s="4">
        <v>-96.765152908180454</v>
      </c>
      <c r="J102" s="4">
        <v>-96.906158548932467</v>
      </c>
      <c r="L102" s="4">
        <f t="shared" si="12"/>
        <v>-96.906158548932467</v>
      </c>
      <c r="M102" s="4">
        <f t="shared" si="13"/>
        <v>-96.765152908180454</v>
      </c>
      <c r="N102" s="4">
        <f t="shared" si="14"/>
        <v>0.14100564075201305</v>
      </c>
      <c r="P102" s="4">
        <f t="shared" si="15"/>
        <v>-88.36728217760718</v>
      </c>
      <c r="Q102" s="4">
        <f t="shared" si="16"/>
        <v>-62.421556589648489</v>
      </c>
      <c r="R102" s="4">
        <f t="shared" si="17"/>
        <v>25.945725587958691</v>
      </c>
      <c r="T102" s="4">
        <f t="shared" si="18"/>
        <v>0.31137878714625655</v>
      </c>
      <c r="W102" s="8">
        <f t="shared" si="19"/>
        <v>0</v>
      </c>
      <c r="X102" s="8">
        <f t="shared" si="20"/>
        <v>0</v>
      </c>
      <c r="Y102" s="8">
        <f t="shared" si="21"/>
        <v>2.8029999999999999</v>
      </c>
      <c r="Z102" s="8">
        <f t="shared" si="22"/>
        <v>2.8029999999999999</v>
      </c>
    </row>
    <row r="103" spans="1:26" x14ac:dyDescent="0.3">
      <c r="A103" s="4">
        <v>99</v>
      </c>
      <c r="B103" s="4">
        <v>3.9200000000000026</v>
      </c>
      <c r="C103" s="4">
        <v>29.046254130302273</v>
      </c>
      <c r="D103" s="4">
        <v>-182.23856264107701</v>
      </c>
      <c r="E103" s="4">
        <v>-64.85714138527095</v>
      </c>
      <c r="F103" s="4">
        <v>-91.486657902531803</v>
      </c>
      <c r="G103" s="4">
        <v>-96.289815179819385</v>
      </c>
      <c r="H103" s="4">
        <v>-93.982384849437139</v>
      </c>
      <c r="I103" s="4">
        <v>-96.233216252816476</v>
      </c>
      <c r="J103" s="4">
        <v>-97.369624884000189</v>
      </c>
      <c r="L103" s="4">
        <f t="shared" si="12"/>
        <v>-97.369624884000189</v>
      </c>
      <c r="M103" s="4">
        <f t="shared" si="13"/>
        <v>-96.289815179819385</v>
      </c>
      <c r="N103" s="4">
        <f t="shared" si="14"/>
        <v>1.0798097041808035</v>
      </c>
      <c r="P103" s="4">
        <f t="shared" si="15"/>
        <v>-91.486657902531803</v>
      </c>
      <c r="Q103" s="4">
        <f t="shared" si="16"/>
        <v>29.046254130302273</v>
      </c>
      <c r="R103" s="4">
        <f t="shared" si="17"/>
        <v>120.53291203283408</v>
      </c>
      <c r="T103" s="4">
        <f t="shared" si="18"/>
        <v>0.51327793076979478</v>
      </c>
      <c r="W103" s="8">
        <f t="shared" si="19"/>
        <v>2.8029999999999999</v>
      </c>
      <c r="X103" s="8">
        <f t="shared" si="20"/>
        <v>0</v>
      </c>
      <c r="Y103" s="8">
        <f t="shared" si="21"/>
        <v>0</v>
      </c>
      <c r="Z103" s="8">
        <f t="shared" si="22"/>
        <v>2.8029999999999999</v>
      </c>
    </row>
    <row r="104" spans="1:26" x14ac:dyDescent="0.3">
      <c r="A104" s="4">
        <v>100</v>
      </c>
      <c r="B104" s="4">
        <v>3.9600000000000026</v>
      </c>
      <c r="C104" s="4">
        <v>26.773990415696829</v>
      </c>
      <c r="D104" s="4">
        <v>-182.49900175711255</v>
      </c>
      <c r="E104" s="4">
        <v>-66.628695646768463</v>
      </c>
      <c r="F104" s="4">
        <v>-95.025116833586068</v>
      </c>
      <c r="G104" s="4">
        <v>-97.001706254279952</v>
      </c>
      <c r="H104" s="4">
        <v>-92.61281673232628</v>
      </c>
      <c r="I104" s="4">
        <v>-95.663348862645321</v>
      </c>
      <c r="J104" s="4">
        <v>-97.764877746381885</v>
      </c>
      <c r="L104" s="4">
        <f t="shared" si="12"/>
        <v>-97.764877746381885</v>
      </c>
      <c r="M104" s="4">
        <f t="shared" si="13"/>
        <v>-97.001706254279952</v>
      </c>
      <c r="N104" s="4">
        <f t="shared" si="14"/>
        <v>0.76317149210193236</v>
      </c>
      <c r="P104" s="4">
        <f t="shared" si="15"/>
        <v>-95.025116833586068</v>
      </c>
      <c r="Q104" s="4">
        <f t="shared" si="16"/>
        <v>26.773990415696829</v>
      </c>
      <c r="R104" s="4">
        <f t="shared" si="17"/>
        <v>121.7991072492829</v>
      </c>
      <c r="T104" s="4">
        <f t="shared" si="18"/>
        <v>0.3590004418038974</v>
      </c>
      <c r="W104" s="8">
        <f t="shared" si="19"/>
        <v>2.8029999999999999</v>
      </c>
      <c r="X104" s="8">
        <f t="shared" si="20"/>
        <v>0</v>
      </c>
      <c r="Y104" s="8">
        <f t="shared" si="21"/>
        <v>0</v>
      </c>
      <c r="Z104" s="8">
        <f t="shared" si="22"/>
        <v>2.8029999999999999</v>
      </c>
    </row>
    <row r="105" spans="1:26" x14ac:dyDescent="0.3">
      <c r="A105" s="4">
        <v>101</v>
      </c>
      <c r="B105" s="4">
        <v>4.0000000000000027</v>
      </c>
      <c r="C105" s="4">
        <v>24.10578690950183</v>
      </c>
      <c r="D105" s="4">
        <v>-181.87996992861477</v>
      </c>
      <c r="E105" s="4">
        <v>-67.60662598770908</v>
      </c>
      <c r="F105" s="4">
        <v>-98.894331072917353</v>
      </c>
      <c r="G105" s="4">
        <v>-97.556220007628511</v>
      </c>
      <c r="H105" s="4">
        <v>-90.967394163956527</v>
      </c>
      <c r="I105" s="4">
        <v>-95.064331112538326</v>
      </c>
      <c r="J105" s="4">
        <v>-98.082822230964183</v>
      </c>
      <c r="L105" s="4">
        <f t="shared" si="12"/>
        <v>-98.082822230964183</v>
      </c>
      <c r="M105" s="4">
        <f t="shared" si="13"/>
        <v>-97.556220007628511</v>
      </c>
      <c r="N105" s="4">
        <f t="shared" si="14"/>
        <v>0.52660222333567219</v>
      </c>
      <c r="P105" s="4">
        <f t="shared" si="15"/>
        <v>-98.894331072917353</v>
      </c>
      <c r="Q105" s="4">
        <f t="shared" si="16"/>
        <v>24.10578690950183</v>
      </c>
      <c r="R105" s="4">
        <f t="shared" si="17"/>
        <v>123.00011798241918</v>
      </c>
      <c r="T105" s="4">
        <f t="shared" si="18"/>
        <v>0.24529976904329501</v>
      </c>
      <c r="W105" s="8">
        <f t="shared" si="19"/>
        <v>2.8029999999999999</v>
      </c>
      <c r="X105" s="8">
        <f t="shared" si="20"/>
        <v>0</v>
      </c>
      <c r="Y105" s="8">
        <f t="shared" si="21"/>
        <v>0</v>
      </c>
      <c r="Z105" s="8">
        <f t="shared" si="22"/>
        <v>2.8029999999999999</v>
      </c>
    </row>
    <row r="106" spans="1:26" x14ac:dyDescent="0.3">
      <c r="A106" s="4">
        <v>102</v>
      </c>
      <c r="B106" s="4">
        <v>4.0400000000000027</v>
      </c>
      <c r="C106" s="4">
        <v>21.119234924236551</v>
      </c>
      <c r="D106" s="4">
        <v>-180.24174804006537</v>
      </c>
      <c r="E106" s="4">
        <v>-67.64736908211357</v>
      </c>
      <c r="F106" s="4">
        <v>-103.01550130721074</v>
      </c>
      <c r="G106" s="4">
        <v>-97.9690095393142</v>
      </c>
      <c r="H106" s="4">
        <v>-88.980960043242149</v>
      </c>
      <c r="I106" s="4">
        <v>-94.432624074281676</v>
      </c>
      <c r="J106" s="4">
        <v>-98.319476033689895</v>
      </c>
      <c r="L106" s="4">
        <f t="shared" si="12"/>
        <v>-98.319476033689895</v>
      </c>
      <c r="M106" s="4">
        <f t="shared" si="13"/>
        <v>-97.9690095393142</v>
      </c>
      <c r="N106" s="4">
        <f t="shared" si="14"/>
        <v>0.35046649437569499</v>
      </c>
      <c r="P106" s="4">
        <f t="shared" si="15"/>
        <v>-103.01550130721074</v>
      </c>
      <c r="Q106" s="4">
        <f t="shared" si="16"/>
        <v>21.119234924236551</v>
      </c>
      <c r="R106" s="4">
        <f t="shared" si="17"/>
        <v>124.13473623144729</v>
      </c>
      <c r="T106" s="4">
        <f t="shared" si="18"/>
        <v>0.1617613107007726</v>
      </c>
      <c r="W106" s="8">
        <f t="shared" si="19"/>
        <v>2.8029999999999999</v>
      </c>
      <c r="X106" s="8">
        <f t="shared" si="20"/>
        <v>0</v>
      </c>
      <c r="Y106" s="8">
        <f t="shared" si="21"/>
        <v>0</v>
      </c>
      <c r="Z106" s="8">
        <f t="shared" si="22"/>
        <v>2.8029999999999999</v>
      </c>
    </row>
    <row r="107" spans="1:26" x14ac:dyDescent="0.3">
      <c r="A107" s="4">
        <v>103</v>
      </c>
      <c r="B107" s="4">
        <v>4.0800000000000027</v>
      </c>
      <c r="C107" s="4">
        <v>17.879290275892203</v>
      </c>
      <c r="D107" s="4">
        <v>-177.44768278407506</v>
      </c>
      <c r="E107" s="4">
        <v>-66.596385968660428</v>
      </c>
      <c r="F107" s="4">
        <v>-107.3182098934369</v>
      </c>
      <c r="G107" s="4">
        <v>-98.256573907169653</v>
      </c>
      <c r="H107" s="4">
        <v>-86.564260023484053</v>
      </c>
      <c r="I107" s="4">
        <v>-93.741260088445273</v>
      </c>
      <c r="J107" s="4">
        <v>-98.476582342463729</v>
      </c>
      <c r="L107" s="4">
        <f t="shared" si="12"/>
        <v>-98.476582342463729</v>
      </c>
      <c r="M107" s="4">
        <f t="shared" si="13"/>
        <v>-98.256573907169653</v>
      </c>
      <c r="N107" s="4">
        <f t="shared" si="14"/>
        <v>0.22000843529407632</v>
      </c>
      <c r="P107" s="4">
        <f t="shared" si="15"/>
        <v>-107.3182098934369</v>
      </c>
      <c r="Q107" s="4">
        <f t="shared" si="16"/>
        <v>17.879290275892203</v>
      </c>
      <c r="R107" s="4">
        <f t="shared" si="17"/>
        <v>125.1975001693291</v>
      </c>
      <c r="T107" s="4">
        <f t="shared" si="18"/>
        <v>0.10068525175809806</v>
      </c>
      <c r="W107" s="8">
        <f t="shared" si="19"/>
        <v>2.8029999999999999</v>
      </c>
      <c r="X107" s="8">
        <f t="shared" si="20"/>
        <v>0</v>
      </c>
      <c r="Y107" s="8">
        <f t="shared" si="21"/>
        <v>0</v>
      </c>
      <c r="Z107" s="8">
        <f t="shared" si="22"/>
        <v>2.8029999999999999</v>
      </c>
    </row>
    <row r="108" spans="1:26" x14ac:dyDescent="0.3">
      <c r="A108" s="4">
        <v>104</v>
      </c>
      <c r="B108" s="4">
        <v>4.1200000000000028</v>
      </c>
      <c r="C108" s="4">
        <v>14.438985602751103</v>
      </c>
      <c r="D108" s="4">
        <v>-173.37763899858862</v>
      </c>
      <c r="E108" s="4">
        <v>-64.297176519169057</v>
      </c>
      <c r="F108" s="4">
        <v>-111.73966301412544</v>
      </c>
      <c r="G108" s="4">
        <v>-98.437079713020424</v>
      </c>
      <c r="H108" s="4">
        <v>-83.607876498488054</v>
      </c>
      <c r="I108" s="4">
        <v>-92.924586324148066</v>
      </c>
      <c r="J108" s="4">
        <v>-98.561611393642323</v>
      </c>
      <c r="L108" s="4">
        <f t="shared" si="12"/>
        <v>-98.561611393642323</v>
      </c>
      <c r="M108" s="4">
        <f t="shared" si="13"/>
        <v>-98.437079713020424</v>
      </c>
      <c r="N108" s="4">
        <f t="shared" si="14"/>
        <v>0.12453168062189945</v>
      </c>
      <c r="P108" s="4">
        <f t="shared" si="15"/>
        <v>-111.73966301412544</v>
      </c>
      <c r="Q108" s="4">
        <f t="shared" si="16"/>
        <v>14.438985602751103</v>
      </c>
      <c r="R108" s="4">
        <f t="shared" si="17"/>
        <v>126.17864861687654</v>
      </c>
      <c r="T108" s="4">
        <f t="shared" si="18"/>
        <v>5.6547898371264137E-2</v>
      </c>
      <c r="W108" s="8">
        <f t="shared" si="19"/>
        <v>2.8029999999999999</v>
      </c>
      <c r="X108" s="8">
        <f t="shared" si="20"/>
        <v>0</v>
      </c>
      <c r="Y108" s="8">
        <f t="shared" si="21"/>
        <v>0</v>
      </c>
      <c r="Z108" s="8">
        <f t="shared" si="22"/>
        <v>2.8029999999999999</v>
      </c>
    </row>
    <row r="109" spans="1:26" x14ac:dyDescent="0.3">
      <c r="A109" s="4">
        <v>105</v>
      </c>
      <c r="B109" s="4">
        <v>4.1600000000000028</v>
      </c>
      <c r="C109" s="4">
        <v>10.840073028027149</v>
      </c>
      <c r="D109" s="4">
        <v>-167.94405544466352</v>
      </c>
      <c r="E109" s="4">
        <v>-60.611553829521782</v>
      </c>
      <c r="F109" s="4">
        <v>-116.22440920952049</v>
      </c>
      <c r="G109" s="4">
        <v>-98.530538596989913</v>
      </c>
      <c r="H109" s="4">
        <v>-80.00509959896462</v>
      </c>
      <c r="I109" s="4">
        <v>-91.85956320209165</v>
      </c>
      <c r="J109" s="4">
        <v>-98.587213954646629</v>
      </c>
      <c r="L109" s="4">
        <f t="shared" si="12"/>
        <v>-98.587213954646629</v>
      </c>
      <c r="M109" s="4">
        <f t="shared" si="13"/>
        <v>-98.530538596989913</v>
      </c>
      <c r="N109" s="4">
        <f t="shared" si="14"/>
        <v>5.6675357656715164E-2</v>
      </c>
      <c r="P109" s="4">
        <f t="shared" si="15"/>
        <v>-116.22440920952049</v>
      </c>
      <c r="Q109" s="4">
        <f t="shared" si="16"/>
        <v>10.840073028027149</v>
      </c>
      <c r="R109" s="4">
        <f t="shared" si="17"/>
        <v>127.06448223754764</v>
      </c>
      <c r="T109" s="4">
        <f t="shared" si="18"/>
        <v>2.5555989554248322E-2</v>
      </c>
      <c r="W109" s="8">
        <f t="shared" si="19"/>
        <v>2.8029999999999999</v>
      </c>
      <c r="X109" s="8">
        <f t="shared" si="20"/>
        <v>0</v>
      </c>
      <c r="Y109" s="8">
        <f t="shared" si="21"/>
        <v>0</v>
      </c>
      <c r="Z109" s="8">
        <f t="shared" si="22"/>
        <v>2.8029999999999999</v>
      </c>
    </row>
    <row r="110" spans="1:26" x14ac:dyDescent="0.3">
      <c r="A110" s="4">
        <v>106</v>
      </c>
      <c r="B110" s="4">
        <v>4.2000000000000028</v>
      </c>
      <c r="C110" s="4">
        <v>7.113650385863707</v>
      </c>
      <c r="D110" s="4">
        <v>-161.11731486255215</v>
      </c>
      <c r="E110" s="4">
        <v>-55.458888149785807</v>
      </c>
      <c r="F110" s="4">
        <v>-120.7245949407007</v>
      </c>
      <c r="G110" s="4">
        <v>-98.558453616165551</v>
      </c>
      <c r="H110" s="4">
        <v>-75.719704905401841</v>
      </c>
      <c r="I110" s="4">
        <v>-90.34781437156812</v>
      </c>
      <c r="J110" s="4">
        <v>-98.570071775434997</v>
      </c>
      <c r="L110" s="4">
        <f t="shared" si="12"/>
        <v>-98.570071775434997</v>
      </c>
      <c r="M110" s="4">
        <f t="shared" si="13"/>
        <v>-98.558453616165551</v>
      </c>
      <c r="N110" s="4">
        <f t="shared" si="14"/>
        <v>1.1618159269445982E-2</v>
      </c>
      <c r="P110" s="4">
        <f t="shared" si="15"/>
        <v>-120.7245949407007</v>
      </c>
      <c r="Q110" s="4">
        <f t="shared" si="16"/>
        <v>7.113650385863707</v>
      </c>
      <c r="R110" s="4">
        <f t="shared" si="17"/>
        <v>127.8382453265644</v>
      </c>
      <c r="T110" s="4">
        <f t="shared" si="18"/>
        <v>5.2071388207565183E-3</v>
      </c>
      <c r="W110" s="8">
        <f t="shared" si="19"/>
        <v>2.8029999999999999</v>
      </c>
      <c r="X110" s="8">
        <f t="shared" si="20"/>
        <v>0</v>
      </c>
      <c r="Y110" s="8">
        <f t="shared" si="21"/>
        <v>0</v>
      </c>
      <c r="Z110" s="8">
        <f t="shared" si="22"/>
        <v>2.8029999999999999</v>
      </c>
    </row>
    <row r="111" spans="1:26" x14ac:dyDescent="0.3">
      <c r="A111" s="4">
        <v>107</v>
      </c>
      <c r="B111" s="4">
        <v>4.2400000000000029</v>
      </c>
      <c r="C111" s="4">
        <v>3.2808967095085109</v>
      </c>
      <c r="D111" s="4">
        <v>-153.03582424791145</v>
      </c>
      <c r="E111" s="4">
        <v>-48.8830845770796</v>
      </c>
      <c r="F111" s="4">
        <v>-125.20066768564585</v>
      </c>
      <c r="G111" s="4">
        <v>-98.543006890590192</v>
      </c>
      <c r="H111" s="4">
        <v>-70.989162018435508</v>
      </c>
      <c r="I111" s="4">
        <v>-88.110350148536284</v>
      </c>
      <c r="J111" s="4">
        <v>-98.529114561557407</v>
      </c>
      <c r="L111" s="4">
        <f t="shared" si="12"/>
        <v>-98.543006890590192</v>
      </c>
      <c r="M111" s="4">
        <f t="shared" si="13"/>
        <v>-98.529114561557407</v>
      </c>
      <c r="N111" s="4">
        <f t="shared" si="14"/>
        <v>1.3892329032785256E-2</v>
      </c>
      <c r="P111" s="4">
        <f t="shared" si="15"/>
        <v>3.2808967095085109</v>
      </c>
      <c r="Q111" s="4">
        <f t="shared" si="16"/>
        <v>-125.20066768564585</v>
      </c>
      <c r="R111" s="4">
        <f t="shared" si="17"/>
        <v>128.48156439515435</v>
      </c>
      <c r="T111" s="4">
        <f t="shared" si="18"/>
        <v>6.1952220291742787E-3</v>
      </c>
      <c r="W111" s="8">
        <f t="shared" si="19"/>
        <v>2.8029999999999999</v>
      </c>
      <c r="X111" s="8">
        <f t="shared" si="20"/>
        <v>0</v>
      </c>
      <c r="Y111" s="8">
        <f t="shared" si="21"/>
        <v>0</v>
      </c>
      <c r="Z111" s="8">
        <f t="shared" si="22"/>
        <v>2.8029999999999999</v>
      </c>
    </row>
    <row r="112" spans="1:26" x14ac:dyDescent="0.3">
      <c r="A112" s="4">
        <v>108</v>
      </c>
      <c r="B112" s="4">
        <v>4.2800000000000029</v>
      </c>
      <c r="C112" s="4">
        <v>-0.64587360453614906</v>
      </c>
      <c r="D112" s="4">
        <v>-144.43171973539631</v>
      </c>
      <c r="E112" s="4">
        <v>-41.149867158760635</v>
      </c>
      <c r="F112" s="4">
        <v>-129.62225122784321</v>
      </c>
      <c r="G112" s="4">
        <v>-98.50581146769062</v>
      </c>
      <c r="H112" s="4">
        <v>-66.948797435237964</v>
      </c>
      <c r="I112" s="4">
        <v>-84.821115213086884</v>
      </c>
      <c r="J112" s="4">
        <v>-98.48312194788744</v>
      </c>
      <c r="L112" s="4">
        <f t="shared" si="12"/>
        <v>-98.50581146769062</v>
      </c>
      <c r="M112" s="4">
        <f t="shared" si="13"/>
        <v>-98.48312194788744</v>
      </c>
      <c r="N112" s="4">
        <f t="shared" si="14"/>
        <v>2.2689519803179792E-2</v>
      </c>
      <c r="P112" s="4">
        <f t="shared" si="15"/>
        <v>-0.64587360453614906</v>
      </c>
      <c r="Q112" s="4">
        <f t="shared" si="16"/>
        <v>-129.62225122784321</v>
      </c>
      <c r="R112" s="4">
        <f t="shared" si="17"/>
        <v>128.97637762330706</v>
      </c>
      <c r="T112" s="4">
        <f t="shared" si="18"/>
        <v>1.0079471407444088E-2</v>
      </c>
      <c r="W112" s="8">
        <f t="shared" si="19"/>
        <v>2.8029999999999999</v>
      </c>
      <c r="X112" s="8">
        <f t="shared" si="20"/>
        <v>0</v>
      </c>
      <c r="Y112" s="8">
        <f t="shared" si="21"/>
        <v>0</v>
      </c>
      <c r="Z112" s="8">
        <f t="shared" si="22"/>
        <v>2.8029999999999999</v>
      </c>
    </row>
    <row r="113" spans="1:26" x14ac:dyDescent="0.3">
      <c r="A113" s="4">
        <v>109</v>
      </c>
      <c r="B113" s="4">
        <v>4.3200000000000029</v>
      </c>
      <c r="C113" s="4">
        <v>-4.6616064501871932</v>
      </c>
      <c r="D113" s="4">
        <v>-136.81857107763747</v>
      </c>
      <c r="E113" s="4">
        <v>-32.84837200418972</v>
      </c>
      <c r="F113" s="4">
        <v>-133.9686715337038</v>
      </c>
      <c r="G113" s="4">
        <v>-98.466277935600971</v>
      </c>
      <c r="H113" s="4">
        <v>-66.276513437250301</v>
      </c>
      <c r="I113" s="4">
        <v>-80.230015688194101</v>
      </c>
      <c r="J113" s="4">
        <v>-98.447997209620667</v>
      </c>
      <c r="L113" s="4">
        <f t="shared" si="12"/>
        <v>-98.466277935600971</v>
      </c>
      <c r="M113" s="4">
        <f t="shared" si="13"/>
        <v>-98.447997209620667</v>
      </c>
      <c r="N113" s="4">
        <f t="shared" si="14"/>
        <v>1.8280725980304169E-2</v>
      </c>
      <c r="P113" s="4">
        <f t="shared" si="15"/>
        <v>-4.6616064501871932</v>
      </c>
      <c r="Q113" s="4">
        <f t="shared" si="16"/>
        <v>-133.9686715337038</v>
      </c>
      <c r="R113" s="4">
        <f t="shared" si="17"/>
        <v>129.30706508351659</v>
      </c>
      <c r="T113" s="4">
        <f t="shared" si="18"/>
        <v>8.1001640355226178E-3</v>
      </c>
      <c r="W113" s="8">
        <f t="shared" si="19"/>
        <v>2.8029999999999999</v>
      </c>
      <c r="X113" s="8">
        <f t="shared" si="20"/>
        <v>0</v>
      </c>
      <c r="Y113" s="8">
        <f t="shared" si="21"/>
        <v>0</v>
      </c>
      <c r="Z113" s="8">
        <f t="shared" si="22"/>
        <v>2.8029999999999999</v>
      </c>
    </row>
    <row r="114" spans="1:26" x14ac:dyDescent="0.3">
      <c r="A114" s="4">
        <v>110</v>
      </c>
      <c r="B114" s="4">
        <v>4.360000000000003</v>
      </c>
      <c r="C114" s="4">
        <v>-8.7661241605315041</v>
      </c>
      <c r="D114" s="4">
        <v>-130.22120457385424</v>
      </c>
      <c r="E114" s="4">
        <v>-24.874843060285556</v>
      </c>
      <c r="F114" s="4">
        <v>-138.22851062287438</v>
      </c>
      <c r="G114" s="4">
        <v>-98.439740270249374</v>
      </c>
      <c r="H114" s="4">
        <v>-70.227256566085799</v>
      </c>
      <c r="I114" s="4">
        <v>-74.475484110960409</v>
      </c>
      <c r="J114" s="4">
        <v>-98.434241300779917</v>
      </c>
      <c r="L114" s="4">
        <f t="shared" si="12"/>
        <v>-98.439740270249374</v>
      </c>
      <c r="M114" s="4">
        <f t="shared" si="13"/>
        <v>-98.434241300779917</v>
      </c>
      <c r="N114" s="4">
        <f t="shared" si="14"/>
        <v>5.498969469456938E-3</v>
      </c>
      <c r="P114" s="4">
        <f t="shared" si="15"/>
        <v>-8.7661241605315041</v>
      </c>
      <c r="Q114" s="4">
        <f t="shared" si="16"/>
        <v>-138.22851062287438</v>
      </c>
      <c r="R114" s="4">
        <f t="shared" si="17"/>
        <v>129.46238646234286</v>
      </c>
      <c r="T114" s="4">
        <f t="shared" si="18"/>
        <v>2.4336623994903957E-3</v>
      </c>
      <c r="W114" s="8">
        <f t="shared" si="19"/>
        <v>2.8029999999999999</v>
      </c>
      <c r="X114" s="8">
        <f t="shared" si="20"/>
        <v>0</v>
      </c>
      <c r="Y114" s="8">
        <f t="shared" si="21"/>
        <v>0</v>
      </c>
      <c r="Z114" s="8">
        <f t="shared" si="22"/>
        <v>2.8029999999999999</v>
      </c>
    </row>
    <row r="115" spans="1:26" x14ac:dyDescent="0.3">
      <c r="A115" s="4">
        <v>111</v>
      </c>
      <c r="B115" s="4">
        <v>4.400000000000003</v>
      </c>
      <c r="C115" s="4">
        <v>-12.960987111958339</v>
      </c>
      <c r="D115" s="4">
        <v>-122.96958271591839</v>
      </c>
      <c r="E115" s="4">
        <v>-17.918207397968686</v>
      </c>
      <c r="F115" s="4">
        <v>-142.39784540757915</v>
      </c>
      <c r="G115" s="4">
        <v>-98.435613415765204</v>
      </c>
      <c r="H115" s="4">
        <v>-76.172008294464689</v>
      </c>
      <c r="I115" s="4">
        <v>-68.765971475177025</v>
      </c>
      <c r="J115" s="4">
        <v>-98.44521859934629</v>
      </c>
      <c r="L115" s="4">
        <f t="shared" si="12"/>
        <v>-98.44521859934629</v>
      </c>
      <c r="M115" s="4">
        <f t="shared" si="13"/>
        <v>-98.435613415765204</v>
      </c>
      <c r="N115" s="4">
        <f t="shared" si="14"/>
        <v>9.6051835810868624E-3</v>
      </c>
      <c r="P115" s="4">
        <f t="shared" si="15"/>
        <v>-142.39784540757915</v>
      </c>
      <c r="Q115" s="4">
        <f t="shared" si="16"/>
        <v>-12.960987111958339</v>
      </c>
      <c r="R115" s="4">
        <f t="shared" si="17"/>
        <v>129.43685829562082</v>
      </c>
      <c r="T115" s="4">
        <f t="shared" si="18"/>
        <v>4.2517756292997271E-3</v>
      </c>
      <c r="W115" s="8">
        <f t="shared" si="19"/>
        <v>2.8029999999999999</v>
      </c>
      <c r="X115" s="8">
        <f t="shared" si="20"/>
        <v>0</v>
      </c>
      <c r="Y115" s="8">
        <f t="shared" si="21"/>
        <v>0</v>
      </c>
      <c r="Z115" s="8">
        <f t="shared" si="22"/>
        <v>2.8029999999999999</v>
      </c>
    </row>
    <row r="116" spans="1:26" x14ac:dyDescent="0.3">
      <c r="A116" s="4">
        <v>112</v>
      </c>
      <c r="B116" s="4">
        <v>4.4400000000000031</v>
      </c>
      <c r="C116" s="4">
        <v>-17.245867691050464</v>
      </c>
      <c r="D116" s="4">
        <v>-114.80661821665286</v>
      </c>
      <c r="E116" s="4">
        <v>-11.199899161376436</v>
      </c>
      <c r="F116" s="4">
        <v>-146.47722714959644</v>
      </c>
      <c r="G116" s="4">
        <v>-98.456051336409672</v>
      </c>
      <c r="H116" s="4">
        <v>-81.657662726349216</v>
      </c>
      <c r="I116" s="4">
        <v>-65.9663137525189</v>
      </c>
      <c r="J116" s="4">
        <v>-98.476654757644155</v>
      </c>
      <c r="L116" s="4">
        <f t="shared" si="12"/>
        <v>-98.476654757644155</v>
      </c>
      <c r="M116" s="4">
        <f t="shared" si="13"/>
        <v>-98.456051336409672</v>
      </c>
      <c r="N116" s="4">
        <f t="shared" si="14"/>
        <v>2.0603421234483221E-2</v>
      </c>
      <c r="P116" s="4">
        <f t="shared" si="15"/>
        <v>-146.47722714959644</v>
      </c>
      <c r="Q116" s="4">
        <f t="shared" si="16"/>
        <v>-17.245867691050464</v>
      </c>
      <c r="R116" s="4">
        <f t="shared" si="17"/>
        <v>129.23135945854597</v>
      </c>
      <c r="T116" s="4">
        <f t="shared" si="18"/>
        <v>9.1346951329011935E-3</v>
      </c>
      <c r="W116" s="8">
        <f t="shared" si="19"/>
        <v>2.8029999999999999</v>
      </c>
      <c r="X116" s="8">
        <f t="shared" si="20"/>
        <v>0</v>
      </c>
      <c r="Y116" s="8">
        <f t="shared" si="21"/>
        <v>0</v>
      </c>
      <c r="Z116" s="8">
        <f t="shared" si="22"/>
        <v>2.8029999999999999</v>
      </c>
    </row>
    <row r="117" spans="1:26" x14ac:dyDescent="0.3">
      <c r="A117" s="4">
        <v>113</v>
      </c>
      <c r="B117" s="4">
        <v>4.4800000000000031</v>
      </c>
      <c r="C117" s="4">
        <v>-21.614969127086695</v>
      </c>
      <c r="D117" s="4">
        <v>-106.58458413116821</v>
      </c>
      <c r="E117" s="4">
        <v>-3.179213166276881</v>
      </c>
      <c r="F117" s="4">
        <v>-150.46810335008027</v>
      </c>
      <c r="G117" s="4">
        <v>-98.495569647198664</v>
      </c>
      <c r="H117" s="4">
        <v>-85.870965633649291</v>
      </c>
      <c r="I117" s="4">
        <v>-67.882662827376564</v>
      </c>
      <c r="J117" s="4">
        <v>-98.517292073017103</v>
      </c>
      <c r="L117" s="4">
        <f t="shared" si="12"/>
        <v>-98.517292073017103</v>
      </c>
      <c r="M117" s="4">
        <f t="shared" si="13"/>
        <v>-98.495569647198664</v>
      </c>
      <c r="N117" s="4">
        <f t="shared" si="14"/>
        <v>2.1722425818438751E-2</v>
      </c>
      <c r="P117" s="4">
        <f t="shared" si="15"/>
        <v>-150.46810335008027</v>
      </c>
      <c r="Q117" s="4">
        <f t="shared" si="16"/>
        <v>-21.614969127086695</v>
      </c>
      <c r="R117" s="4">
        <f t="shared" si="17"/>
        <v>128.85313422299356</v>
      </c>
      <c r="T117" s="4">
        <f t="shared" si="18"/>
        <v>9.6590844754930634E-3</v>
      </c>
      <c r="W117" s="8">
        <f t="shared" si="19"/>
        <v>2.8029999999999999</v>
      </c>
      <c r="X117" s="8">
        <f t="shared" si="20"/>
        <v>0</v>
      </c>
      <c r="Y117" s="8">
        <f t="shared" si="21"/>
        <v>0</v>
      </c>
      <c r="Z117" s="8">
        <f t="shared" si="22"/>
        <v>2.8029999999999999</v>
      </c>
    </row>
    <row r="118" spans="1:26" x14ac:dyDescent="0.3">
      <c r="A118" s="4">
        <v>114</v>
      </c>
      <c r="B118" s="4">
        <v>4.5200000000000031</v>
      </c>
      <c r="C118" s="4">
        <v>-26.054396075896605</v>
      </c>
      <c r="D118" s="4">
        <v>-99.13294000383172</v>
      </c>
      <c r="E118" s="4">
        <v>5.4123186771450378</v>
      </c>
      <c r="F118" s="4">
        <v>-154.36920899008749</v>
      </c>
      <c r="G118" s="4">
        <v>-98.541928914959556</v>
      </c>
      <c r="H118" s="4">
        <v>-88.832043937343698</v>
      </c>
      <c r="I118" s="4">
        <v>-72.326783388088487</v>
      </c>
      <c r="J118" s="4">
        <v>-98.550459588076095</v>
      </c>
      <c r="L118" s="4">
        <f t="shared" si="12"/>
        <v>-98.550459588076095</v>
      </c>
      <c r="M118" s="4">
        <f t="shared" si="13"/>
        <v>-98.541928914959556</v>
      </c>
      <c r="N118" s="4">
        <f t="shared" si="14"/>
        <v>8.5306731165388783E-3</v>
      </c>
      <c r="P118" s="4">
        <f t="shared" si="15"/>
        <v>-154.36920899008749</v>
      </c>
      <c r="Q118" s="4">
        <f t="shared" si="16"/>
        <v>-26.054396075896605</v>
      </c>
      <c r="R118" s="4">
        <f t="shared" si="17"/>
        <v>128.3148129141909</v>
      </c>
      <c r="T118" s="4">
        <f t="shared" si="18"/>
        <v>3.8091593181072783E-3</v>
      </c>
      <c r="W118" s="8">
        <f t="shared" si="19"/>
        <v>2.8029999999999999</v>
      </c>
      <c r="X118" s="8">
        <f t="shared" si="20"/>
        <v>0</v>
      </c>
      <c r="Y118" s="8">
        <f t="shared" si="21"/>
        <v>0</v>
      </c>
      <c r="Z118" s="8">
        <f t="shared" si="22"/>
        <v>2.8029999999999999</v>
      </c>
    </row>
    <row r="119" spans="1:26" x14ac:dyDescent="0.3">
      <c r="A119" s="4">
        <v>115</v>
      </c>
      <c r="B119" s="4">
        <v>4.5600000000000032</v>
      </c>
      <c r="C119" s="4">
        <v>-30.540735367116213</v>
      </c>
      <c r="D119" s="4">
        <v>-92.942334501298433</v>
      </c>
      <c r="E119" s="4">
        <v>13.176600605487238</v>
      </c>
      <c r="F119" s="4">
        <v>-158.17364790936972</v>
      </c>
      <c r="G119" s="4">
        <v>-98.578139994817477</v>
      </c>
      <c r="H119" s="4">
        <v>-90.833117458634817</v>
      </c>
      <c r="I119" s="4">
        <v>-76.989613952933553</v>
      </c>
      <c r="J119" s="4">
        <v>-98.555943094341174</v>
      </c>
      <c r="L119" s="4">
        <f t="shared" si="12"/>
        <v>-98.578139994817477</v>
      </c>
      <c r="M119" s="4">
        <f t="shared" si="13"/>
        <v>-98.555943094341174</v>
      </c>
      <c r="N119" s="4">
        <f t="shared" si="14"/>
        <v>2.2196900476302517E-2</v>
      </c>
      <c r="P119" s="4">
        <f t="shared" si="15"/>
        <v>-30.540735367116213</v>
      </c>
      <c r="Q119" s="4">
        <f t="shared" si="16"/>
        <v>-158.17364790936972</v>
      </c>
      <c r="R119" s="4">
        <f t="shared" si="17"/>
        <v>127.63291254225351</v>
      </c>
      <c r="T119" s="4">
        <f t="shared" si="18"/>
        <v>9.9644259259625556E-3</v>
      </c>
      <c r="W119" s="8">
        <f t="shared" si="19"/>
        <v>2.8029999999999999</v>
      </c>
      <c r="X119" s="8">
        <f t="shared" si="20"/>
        <v>0</v>
      </c>
      <c r="Y119" s="8">
        <f t="shared" si="21"/>
        <v>0</v>
      </c>
      <c r="Z119" s="8">
        <f t="shared" si="22"/>
        <v>2.8029999999999999</v>
      </c>
    </row>
    <row r="120" spans="1:26" x14ac:dyDescent="0.3">
      <c r="A120" s="4">
        <v>116</v>
      </c>
      <c r="B120" s="4">
        <v>4.6000000000000032</v>
      </c>
      <c r="C120" s="4">
        <v>-35.040950608990137</v>
      </c>
      <c r="D120" s="4">
        <v>-88.20495841802223</v>
      </c>
      <c r="E120" s="4">
        <v>19.614005972906426</v>
      </c>
      <c r="F120" s="4">
        <v>-161.86674645039869</v>
      </c>
      <c r="G120" s="4">
        <v>-98.585111614873739</v>
      </c>
      <c r="H120" s="4">
        <v>-92.194290779234066</v>
      </c>
      <c r="I120" s="4">
        <v>-81.088753673760223</v>
      </c>
      <c r="J120" s="4">
        <v>-98.511818312213279</v>
      </c>
      <c r="L120" s="4">
        <f t="shared" si="12"/>
        <v>-98.585111614873739</v>
      </c>
      <c r="M120" s="4">
        <f t="shared" si="13"/>
        <v>-98.511818312213279</v>
      </c>
      <c r="N120" s="4">
        <f t="shared" si="14"/>
        <v>7.3293302660459858E-2</v>
      </c>
      <c r="P120" s="4">
        <f t="shared" si="15"/>
        <v>-35.040950608990137</v>
      </c>
      <c r="Q120" s="4">
        <f t="shared" si="16"/>
        <v>-161.86674645039869</v>
      </c>
      <c r="R120" s="4">
        <f t="shared" si="17"/>
        <v>126.82579584140856</v>
      </c>
      <c r="T120" s="4">
        <f t="shared" si="18"/>
        <v>3.3111532347672924E-2</v>
      </c>
      <c r="W120" s="8">
        <f t="shared" si="19"/>
        <v>2.8029999999999999</v>
      </c>
      <c r="X120" s="8">
        <f t="shared" si="20"/>
        <v>0</v>
      </c>
      <c r="Y120" s="8">
        <f t="shared" si="21"/>
        <v>0</v>
      </c>
      <c r="Z120" s="8">
        <f t="shared" si="22"/>
        <v>2.8029999999999999</v>
      </c>
    </row>
    <row r="121" spans="1:26" x14ac:dyDescent="0.3">
      <c r="A121" s="4">
        <v>117</v>
      </c>
      <c r="B121" s="4">
        <v>4.6400000000000032</v>
      </c>
      <c r="C121" s="4">
        <v>-39.513063495947307</v>
      </c>
      <c r="D121" s="4">
        <v>-84.921045189849963</v>
      </c>
      <c r="E121" s="4">
        <v>24.657682526323796</v>
      </c>
      <c r="F121" s="4">
        <v>-165.4246211376485</v>
      </c>
      <c r="G121" s="4">
        <v>-98.544328856142698</v>
      </c>
      <c r="H121" s="4">
        <v>-93.172906833864133</v>
      </c>
      <c r="I121" s="4">
        <v>-84.500936275146486</v>
      </c>
      <c r="J121" s="4">
        <v>-98.395988447222152</v>
      </c>
      <c r="L121" s="4">
        <f t="shared" si="12"/>
        <v>-98.544328856142698</v>
      </c>
      <c r="M121" s="4">
        <f t="shared" si="13"/>
        <v>-98.395988447222152</v>
      </c>
      <c r="N121" s="4">
        <f t="shared" si="14"/>
        <v>0.14834040892054645</v>
      </c>
      <c r="P121" s="4">
        <f t="shared" si="15"/>
        <v>-39.513063495947307</v>
      </c>
      <c r="Q121" s="4">
        <f t="shared" si="16"/>
        <v>-165.4246211376485</v>
      </c>
      <c r="R121" s="4">
        <f t="shared" si="17"/>
        <v>125.91155764170119</v>
      </c>
      <c r="T121" s="4">
        <f t="shared" si="18"/>
        <v>6.7501948107603627E-2</v>
      </c>
      <c r="W121" s="8">
        <f t="shared" si="19"/>
        <v>2.8029999999999999</v>
      </c>
      <c r="X121" s="8">
        <f t="shared" si="20"/>
        <v>0</v>
      </c>
      <c r="Y121" s="8">
        <f t="shared" si="21"/>
        <v>0</v>
      </c>
      <c r="Z121" s="8">
        <f t="shared" si="22"/>
        <v>2.8029999999999999</v>
      </c>
    </row>
    <row r="122" spans="1:26" x14ac:dyDescent="0.3">
      <c r="A122" s="4">
        <v>118</v>
      </c>
      <c r="B122" s="4">
        <v>4.6800000000000033</v>
      </c>
      <c r="C122" s="4">
        <v>-43.907028697585844</v>
      </c>
      <c r="D122" s="4">
        <v>-82.988347909421321</v>
      </c>
      <c r="E122" s="4">
        <v>28.358129320885951</v>
      </c>
      <c r="F122" s="4">
        <v>-168.81324971373922</v>
      </c>
      <c r="G122" s="4">
        <v>-98.440089607900177</v>
      </c>
      <c r="H122" s="4">
        <v>-93.94472639520967</v>
      </c>
      <c r="I122" s="4">
        <v>-87.293838580567282</v>
      </c>
      <c r="J122" s="4">
        <v>-98.187304627696093</v>
      </c>
      <c r="L122" s="4">
        <f t="shared" si="12"/>
        <v>-98.440089607900177</v>
      </c>
      <c r="M122" s="4">
        <f t="shared" si="13"/>
        <v>-98.187304627696093</v>
      </c>
      <c r="N122" s="4">
        <f t="shared" si="14"/>
        <v>0.25278498020408335</v>
      </c>
      <c r="P122" s="4">
        <f t="shared" si="15"/>
        <v>-43.907028697585844</v>
      </c>
      <c r="Q122" s="4">
        <f t="shared" si="16"/>
        <v>-168.81324971373922</v>
      </c>
      <c r="R122" s="4">
        <f t="shared" si="17"/>
        <v>124.90622101615338</v>
      </c>
      <c r="T122" s="4">
        <f t="shared" si="18"/>
        <v>0.1159549348187288</v>
      </c>
      <c r="W122" s="8">
        <f t="shared" si="19"/>
        <v>2.8029999999999999</v>
      </c>
      <c r="X122" s="8">
        <f t="shared" si="20"/>
        <v>0</v>
      </c>
      <c r="Y122" s="8">
        <f t="shared" si="21"/>
        <v>0</v>
      </c>
      <c r="Z122" s="8">
        <f t="shared" si="22"/>
        <v>2.8029999999999999</v>
      </c>
    </row>
    <row r="123" spans="1:26" x14ac:dyDescent="0.3">
      <c r="A123" s="4">
        <v>119</v>
      </c>
      <c r="B123" s="4">
        <v>4.7200000000000033</v>
      </c>
      <c r="C123" s="4">
        <v>-48.165325821848235</v>
      </c>
      <c r="D123" s="4">
        <v>-82.260538277494135</v>
      </c>
      <c r="E123" s="4">
        <v>30.813830931870044</v>
      </c>
      <c r="F123" s="4">
        <v>-171.98776093896024</v>
      </c>
      <c r="G123" s="4">
        <v>-98.261114418356499</v>
      </c>
      <c r="H123" s="4">
        <v>-94.614662749980837</v>
      </c>
      <c r="I123" s="4">
        <v>-89.579077912395192</v>
      </c>
      <c r="J123" s="4">
        <v>-97.86626199779775</v>
      </c>
      <c r="L123" s="4">
        <f t="shared" si="12"/>
        <v>-98.261114418356499</v>
      </c>
      <c r="M123" s="4">
        <f t="shared" si="13"/>
        <v>-97.86626199779775</v>
      </c>
      <c r="N123" s="4">
        <f t="shared" si="14"/>
        <v>0.39485242055874892</v>
      </c>
      <c r="P123" s="4">
        <f t="shared" si="15"/>
        <v>-48.165325821848235</v>
      </c>
      <c r="Q123" s="4">
        <f t="shared" si="16"/>
        <v>-171.98776093896024</v>
      </c>
      <c r="R123" s="4">
        <f t="shared" si="17"/>
        <v>123.82243511711201</v>
      </c>
      <c r="T123" s="4">
        <f t="shared" si="18"/>
        <v>0.18270760483103296</v>
      </c>
      <c r="W123" s="8">
        <f t="shared" si="19"/>
        <v>2.8029999999999999</v>
      </c>
      <c r="X123" s="8">
        <f t="shared" si="20"/>
        <v>0</v>
      </c>
      <c r="Y123" s="8">
        <f t="shared" si="21"/>
        <v>0</v>
      </c>
      <c r="Z123" s="8">
        <f t="shared" si="22"/>
        <v>2.8029999999999999</v>
      </c>
    </row>
    <row r="124" spans="1:26" x14ac:dyDescent="0.3">
      <c r="A124" s="4">
        <v>120</v>
      </c>
      <c r="B124" s="4">
        <v>4.7600000000000033</v>
      </c>
      <c r="C124" s="4">
        <v>-52.223066359301896</v>
      </c>
      <c r="D124" s="4">
        <v>-82.580229609871949</v>
      </c>
      <c r="E124" s="4">
        <v>32.151116156345211</v>
      </c>
      <c r="F124" s="4">
        <v>-174.89183778864214</v>
      </c>
      <c r="G124" s="4">
        <v>-98.001511981340627</v>
      </c>
      <c r="H124" s="4">
        <v>-95.235704288105381</v>
      </c>
      <c r="I124" s="4">
        <v>-91.461600403112485</v>
      </c>
      <c r="J124" s="4">
        <v>-97.415205434730339</v>
      </c>
      <c r="L124" s="4">
        <f t="shared" si="12"/>
        <v>-98.001511981340627</v>
      </c>
      <c r="M124" s="4">
        <f t="shared" si="13"/>
        <v>-97.415205434730339</v>
      </c>
      <c r="N124" s="4">
        <f t="shared" si="14"/>
        <v>0.58630654661028814</v>
      </c>
      <c r="P124" s="4">
        <f t="shared" si="15"/>
        <v>-52.223066359301896</v>
      </c>
      <c r="Q124" s="4">
        <f t="shared" si="16"/>
        <v>-174.89183778864214</v>
      </c>
      <c r="R124" s="4">
        <f t="shared" si="17"/>
        <v>122.66877142934024</v>
      </c>
      <c r="T124" s="4">
        <f t="shared" si="18"/>
        <v>0.27384830246197917</v>
      </c>
      <c r="W124" s="8">
        <f t="shared" si="19"/>
        <v>2.8029999999999999</v>
      </c>
      <c r="X124" s="8">
        <f t="shared" si="20"/>
        <v>0</v>
      </c>
      <c r="Y124" s="8">
        <f t="shared" si="21"/>
        <v>0</v>
      </c>
      <c r="Z124" s="8">
        <f t="shared" si="22"/>
        <v>2.8029999999999999</v>
      </c>
    </row>
    <row r="125" spans="1:26" x14ac:dyDescent="0.3">
      <c r="A125" s="4">
        <v>121</v>
      </c>
      <c r="B125" s="4">
        <v>4.8000000000000034</v>
      </c>
      <c r="C125" s="4">
        <v>-56.007569596897341</v>
      </c>
      <c r="D125" s="4">
        <v>-83.7953960963127</v>
      </c>
      <c r="E125" s="4">
        <v>32.508698287670299</v>
      </c>
      <c r="F125" s="4">
        <v>-177.45704372185256</v>
      </c>
      <c r="G125" s="4">
        <v>-97.661174586834036</v>
      </c>
      <c r="H125" s="4">
        <v>-95.826866905407826</v>
      </c>
      <c r="I125" s="4">
        <v>-93.023797830344861</v>
      </c>
      <c r="J125" s="4">
        <v>-96.817988843618764</v>
      </c>
      <c r="L125" s="4">
        <f t="shared" si="12"/>
        <v>-97.661174586834036</v>
      </c>
      <c r="M125" s="4">
        <f t="shared" si="13"/>
        <v>-96.817988843618764</v>
      </c>
      <c r="N125" s="4">
        <f t="shared" si="14"/>
        <v>0.84318574321527251</v>
      </c>
      <c r="P125" s="4">
        <f t="shared" si="15"/>
        <v>-56.007569596897341</v>
      </c>
      <c r="Q125" s="4">
        <f t="shared" si="16"/>
        <v>-177.45704372185256</v>
      </c>
      <c r="R125" s="4">
        <f t="shared" si="17"/>
        <v>121.44947412495522</v>
      </c>
      <c r="T125" s="4">
        <f t="shared" si="18"/>
        <v>0.3977802999249837</v>
      </c>
      <c r="W125" s="8">
        <f t="shared" si="19"/>
        <v>2.8029999999999999</v>
      </c>
      <c r="X125" s="8">
        <f t="shared" si="20"/>
        <v>0</v>
      </c>
      <c r="Y125" s="8">
        <f t="shared" si="21"/>
        <v>0</v>
      </c>
      <c r="Z125" s="8">
        <f t="shared" si="22"/>
        <v>2.8029999999999999</v>
      </c>
    </row>
    <row r="126" spans="1:26" x14ac:dyDescent="0.3">
      <c r="A126" s="4">
        <v>122</v>
      </c>
      <c r="B126" s="4">
        <v>4.8400000000000034</v>
      </c>
      <c r="C126" s="4">
        <v>-59.437485390037843</v>
      </c>
      <c r="D126" s="4">
        <v>-85.766271282066739</v>
      </c>
      <c r="E126" s="4">
        <v>32.025297028836746</v>
      </c>
      <c r="F126" s="4">
        <v>-179.60209891373134</v>
      </c>
      <c r="G126" s="4">
        <v>-97.245614899648146</v>
      </c>
      <c r="H126" s="4">
        <v>-96.387269253458356</v>
      </c>
      <c r="I126" s="4">
        <v>-94.324566587999982</v>
      </c>
      <c r="J126" s="4">
        <v>-96.058940972741567</v>
      </c>
      <c r="L126" s="4">
        <f t="shared" si="12"/>
        <v>-97.245614899648146</v>
      </c>
      <c r="M126" s="4">
        <f t="shared" si="13"/>
        <v>-96.387269253458356</v>
      </c>
      <c r="N126" s="4">
        <f t="shared" si="14"/>
        <v>0.85834564618978959</v>
      </c>
      <c r="P126" s="4">
        <f t="shared" si="15"/>
        <v>-59.437485390037843</v>
      </c>
      <c r="Q126" s="4">
        <f t="shared" si="16"/>
        <v>-85.766271282066739</v>
      </c>
      <c r="R126" s="4">
        <f t="shared" si="17"/>
        <v>26.328785892028897</v>
      </c>
      <c r="T126" s="4">
        <f t="shared" si="18"/>
        <v>1.8672403299379154</v>
      </c>
      <c r="W126" s="8">
        <f t="shared" si="19"/>
        <v>2.8029999999999999</v>
      </c>
      <c r="X126" s="8">
        <f t="shared" si="20"/>
        <v>2.8029999999999999</v>
      </c>
      <c r="Y126" s="8">
        <f t="shared" si="21"/>
        <v>0</v>
      </c>
      <c r="Z126" s="8">
        <f t="shared" si="22"/>
        <v>0</v>
      </c>
    </row>
    <row r="127" spans="1:26" x14ac:dyDescent="0.3">
      <c r="A127" s="4">
        <v>123</v>
      </c>
      <c r="B127" s="4">
        <v>4.8800000000000034</v>
      </c>
      <c r="C127" s="4">
        <v>-62.421556589649427</v>
      </c>
      <c r="D127" s="4">
        <v>-88.367282177606839</v>
      </c>
      <c r="E127" s="4">
        <v>30.831630071030261</v>
      </c>
      <c r="F127" s="4">
        <v>-181.23218662514506</v>
      </c>
      <c r="G127" s="4">
        <v>-96.765152908378042</v>
      </c>
      <c r="H127" s="4">
        <v>-96.906158549183516</v>
      </c>
      <c r="I127" s="4">
        <v>-95.40409035403718</v>
      </c>
      <c r="J127" s="4">
        <v>-95.120943123602828</v>
      </c>
      <c r="L127" s="4">
        <f t="shared" si="12"/>
        <v>-96.906158549183516</v>
      </c>
      <c r="M127" s="4">
        <f t="shared" si="13"/>
        <v>-96.765152908378042</v>
      </c>
      <c r="N127" s="4">
        <f t="shared" si="14"/>
        <v>0.14100564080547429</v>
      </c>
      <c r="P127" s="4">
        <f t="shared" si="15"/>
        <v>-88.367282177606839</v>
      </c>
      <c r="Q127" s="4">
        <f t="shared" si="16"/>
        <v>-62.421556589649427</v>
      </c>
      <c r="R127" s="4">
        <f t="shared" si="17"/>
        <v>25.945725587957412</v>
      </c>
      <c r="T127" s="4">
        <f t="shared" si="18"/>
        <v>0.31137878726432655</v>
      </c>
      <c r="W127" s="8">
        <f t="shared" si="19"/>
        <v>2.8029999999999999</v>
      </c>
      <c r="X127" s="8">
        <f t="shared" si="20"/>
        <v>2.8029999999999999</v>
      </c>
      <c r="Y127" s="8">
        <f t="shared" si="21"/>
        <v>0</v>
      </c>
      <c r="Z127" s="8">
        <f t="shared" si="22"/>
        <v>0</v>
      </c>
    </row>
    <row r="128" spans="1:26" x14ac:dyDescent="0.3">
      <c r="A128" s="4">
        <v>124</v>
      </c>
      <c r="B128" s="4">
        <v>4.9200000000000035</v>
      </c>
      <c r="C128" s="4">
        <v>-64.857141385272101</v>
      </c>
      <c r="D128" s="4">
        <v>-91.486657902531377</v>
      </c>
      <c r="E128" s="4">
        <v>29.046254130301421</v>
      </c>
      <c r="F128" s="4">
        <v>-182.23856264107573</v>
      </c>
      <c r="G128" s="4">
        <v>-96.233216252821123</v>
      </c>
      <c r="H128" s="4">
        <v>-97.369624884007692</v>
      </c>
      <c r="I128" s="4">
        <v>-96.289815179820991</v>
      </c>
      <c r="J128" s="4">
        <v>-93.982384849442937</v>
      </c>
      <c r="L128" s="4">
        <f t="shared" si="12"/>
        <v>-97.369624884007692</v>
      </c>
      <c r="M128" s="4">
        <f t="shared" si="13"/>
        <v>-96.289815179820991</v>
      </c>
      <c r="N128" s="4">
        <f t="shared" si="14"/>
        <v>1.079809704186701</v>
      </c>
      <c r="P128" s="4">
        <f t="shared" si="15"/>
        <v>-91.486657902531377</v>
      </c>
      <c r="Q128" s="4">
        <f t="shared" si="16"/>
        <v>29.046254130301421</v>
      </c>
      <c r="R128" s="4">
        <f t="shared" si="17"/>
        <v>120.5329120328328</v>
      </c>
      <c r="T128" s="4">
        <f t="shared" si="18"/>
        <v>0.51327793077260342</v>
      </c>
      <c r="W128" s="8">
        <f t="shared" si="19"/>
        <v>0</v>
      </c>
      <c r="X128" s="8">
        <f t="shared" si="20"/>
        <v>2.8029999999999999</v>
      </c>
      <c r="Y128" s="8">
        <f t="shared" si="21"/>
        <v>2.8029999999999999</v>
      </c>
      <c r="Z128" s="8">
        <f t="shared" si="22"/>
        <v>0</v>
      </c>
    </row>
    <row r="129" spans="1:26" x14ac:dyDescent="0.3">
      <c r="A129" s="4">
        <v>125</v>
      </c>
      <c r="B129" s="4">
        <v>4.9600000000000035</v>
      </c>
      <c r="C129" s="4">
        <v>-66.628695646763845</v>
      </c>
      <c r="D129" s="4">
        <v>-95.025116833592435</v>
      </c>
      <c r="E129" s="4">
        <v>26.773990415700951</v>
      </c>
      <c r="F129" s="4">
        <v>-182.4990017571196</v>
      </c>
      <c r="G129" s="4">
        <v>-95.663348862642735</v>
      </c>
      <c r="H129" s="4">
        <v>-97.764877746379597</v>
      </c>
      <c r="I129" s="4">
        <v>-97.001706254275973</v>
      </c>
      <c r="J129" s="4">
        <v>-92.612816732320596</v>
      </c>
      <c r="L129" s="4">
        <f t="shared" si="12"/>
        <v>-97.764877746379597</v>
      </c>
      <c r="M129" s="4">
        <f t="shared" si="13"/>
        <v>-97.001706254275973</v>
      </c>
      <c r="N129" s="4">
        <f t="shared" si="14"/>
        <v>0.76317149210362345</v>
      </c>
      <c r="P129" s="4">
        <f t="shared" si="15"/>
        <v>-95.025116833592435</v>
      </c>
      <c r="Q129" s="4">
        <f t="shared" si="16"/>
        <v>26.773990415700951</v>
      </c>
      <c r="R129" s="4">
        <f t="shared" si="17"/>
        <v>121.79910724929339</v>
      </c>
      <c r="T129" s="4">
        <f t="shared" si="18"/>
        <v>0.35900044180466195</v>
      </c>
      <c r="W129" s="8">
        <f t="shared" si="19"/>
        <v>0</v>
      </c>
      <c r="X129" s="8">
        <f t="shared" si="20"/>
        <v>2.8029999999999999</v>
      </c>
      <c r="Y129" s="8">
        <f t="shared" si="21"/>
        <v>2.8029999999999999</v>
      </c>
      <c r="Z129" s="8">
        <f t="shared" si="22"/>
        <v>0</v>
      </c>
    </row>
    <row r="130" spans="1:26" ht="15" thickBot="1" x14ac:dyDescent="0.35">
      <c r="A130" s="5">
        <v>126</v>
      </c>
      <c r="B130" s="5">
        <v>5</v>
      </c>
      <c r="C130" s="5">
        <v>-67.606625987710032</v>
      </c>
      <c r="D130" s="5">
        <v>-98.894331072917396</v>
      </c>
      <c r="E130" s="5">
        <v>24.10578690950139</v>
      </c>
      <c r="F130" s="5">
        <v>-181.87996992861176</v>
      </c>
      <c r="G130" s="5">
        <v>-95.064331112538042</v>
      </c>
      <c r="H130" s="5">
        <v>-98.082822230964879</v>
      </c>
      <c r="I130" s="5">
        <v>-97.556220007627942</v>
      </c>
      <c r="J130" s="5">
        <v>-90.96739416395657</v>
      </c>
      <c r="L130" s="4">
        <f t="shared" si="12"/>
        <v>-98.082822230964879</v>
      </c>
      <c r="M130" s="4">
        <f t="shared" si="13"/>
        <v>-97.556220007627942</v>
      </c>
      <c r="N130" s="4">
        <f t="shared" si="14"/>
        <v>0.52660222333693696</v>
      </c>
      <c r="P130" s="4">
        <f t="shared" si="15"/>
        <v>-98.894331072917396</v>
      </c>
      <c r="Q130" s="4">
        <f t="shared" si="16"/>
        <v>24.10578690950139</v>
      </c>
      <c r="R130" s="4">
        <f t="shared" si="17"/>
        <v>123.00011798241879</v>
      </c>
      <c r="T130" s="4">
        <f t="shared" si="18"/>
        <v>0.24529976904388495</v>
      </c>
      <c r="W130" s="8">
        <f t="shared" si="19"/>
        <v>0</v>
      </c>
      <c r="X130" s="8">
        <f t="shared" si="20"/>
        <v>2.8029999999999999</v>
      </c>
      <c r="Y130" s="8">
        <f t="shared" si="21"/>
        <v>2.8029999999999999</v>
      </c>
      <c r="Z130" s="8">
        <f t="shared" si="22"/>
        <v>0</v>
      </c>
    </row>
    <row r="131" spans="1:26" x14ac:dyDescent="0.3">
      <c r="L131" s="4"/>
      <c r="X131" s="7"/>
      <c r="Y131" s="7"/>
      <c r="Z131" s="7"/>
    </row>
    <row r="132" spans="1:26" x14ac:dyDescent="0.3">
      <c r="L132" s="6"/>
    </row>
  </sheetData>
  <mergeCells count="1">
    <mergeCell ref="W4:Z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Sheet1</vt:lpstr>
      <vt:lpstr>X-Coordinate</vt:lpstr>
      <vt:lpstr>Height vs Time</vt:lpstr>
      <vt:lpstr>Z-Coordinate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Mead, Ben</dc:creator>
  <cp:lastModifiedBy>Mead, Ben</cp:lastModifiedBy>
  <dcterms:created xsi:type="dcterms:W3CDTF">2026-03-01T21:15:24Z</dcterms:created>
  <dcterms:modified xsi:type="dcterms:W3CDTF">2026-03-02T21:54:06Z</dcterms:modified>
</cp:coreProperties>
</file>