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https://yaleedu-my.sharepoint.com/personal/ben_mead_yale_edu/Documents/CAD Files/MENG2147CacheCAD/"/>
    </mc:Choice>
  </mc:AlternateContent>
  <xr:revisionPtr revIDLastSave="2" documentId="8_{E1304B87-58CF-4F4D-AFD1-48F63C49A2EE}" xr6:coauthVersionLast="47" xr6:coauthVersionMax="47" xr10:uidLastSave="{1E3922A0-79EA-462F-A6B0-94DAE8BCB181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8" i="1" l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8" i="1"/>
  <c r="K73" i="1" l="1"/>
</calcChain>
</file>

<file path=xl/sharedStrings.xml><?xml version="1.0" encoding="utf-8"?>
<sst xmlns="http://schemas.openxmlformats.org/spreadsheetml/2006/main" count="81" uniqueCount="63">
  <si>
    <t>Initiator / Team Input</t>
  </si>
  <si>
    <t>Staff Input</t>
  </si>
  <si>
    <t>SUPPLIER / MANUFACTURER</t>
  </si>
  <si>
    <t>QUANTITY</t>
  </si>
  <si>
    <t>TOTAL COST</t>
  </si>
  <si>
    <t>Ordered</t>
  </si>
  <si>
    <t>Arrived</t>
  </si>
  <si>
    <t>Notes</t>
  </si>
  <si>
    <t>TOTAL:</t>
  </si>
  <si>
    <t>REQUEST DATE</t>
  </si>
  <si>
    <t>REQUESTOR</t>
  </si>
  <si>
    <t>LINK</t>
  </si>
  <si>
    <t>UNIT PRICE</t>
  </si>
  <si>
    <t>ITEM DESCRIPTION</t>
  </si>
  <si>
    <t>SUPPLIER ITEM IDENTIFIER (PART NUMBER)</t>
  </si>
  <si>
    <t>OTHER NOTES, SPECIFICATIONS, OR CONSTRAINTS</t>
  </si>
  <si>
    <t>PURPOSE</t>
  </si>
  <si>
    <t>MENG 2417</t>
  </si>
  <si>
    <t>COURSE:</t>
  </si>
  <si>
    <t>Student Names</t>
  </si>
  <si>
    <t>Clemi Scherzer</t>
  </si>
  <si>
    <t>Clemi Scherzer, Ben Mead, Chloe DeJoy, James Wright</t>
  </si>
  <si>
    <t>M3 locknut</t>
  </si>
  <si>
    <t>M4 washer</t>
  </si>
  <si>
    <t>4x20mm shoulder screw</t>
  </si>
  <si>
    <t>3-stack pivot</t>
  </si>
  <si>
    <t>spacer</t>
  </si>
  <si>
    <t>misc. use on pivots and chassis</t>
  </si>
  <si>
    <t>4x15mm shoulder screw</t>
  </si>
  <si>
    <t>2-stack pivot</t>
  </si>
  <si>
    <t>crank shaft assembly</t>
  </si>
  <si>
    <t>M2x8mm screw FH</t>
  </si>
  <si>
    <t>M3x8mm screw FH</t>
  </si>
  <si>
    <t>McMaster-Carr</t>
  </si>
  <si>
    <t>90576A102</t>
  </si>
  <si>
    <t>98269A430</t>
  </si>
  <si>
    <t>92981A145</t>
  </si>
  <si>
    <t>92981A743</t>
  </si>
  <si>
    <t>92125A054</t>
  </si>
  <si>
    <t>92125A128</t>
  </si>
  <si>
    <t>https://www.mcmaster.com/products/90576a102/</t>
  </si>
  <si>
    <t>https://www.mcmaster.com/products/98269a430/</t>
  </si>
  <si>
    <t>https://www.mcmaster.com/products/92981a145/</t>
  </si>
  <si>
    <t>https://www.mcmaster.com/products/92981a743/</t>
  </si>
  <si>
    <t>https://www.mcmaster.com/products/92125a054/</t>
  </si>
  <si>
    <t>https://www.mcmaster.com/products/92125a128/</t>
  </si>
  <si>
    <t>GoBilda</t>
  </si>
  <si>
    <t>2300-4008-0040</t>
  </si>
  <si>
    <t>MOD 0.8 40T Pinion</t>
  </si>
  <si>
    <t>drive pinion</t>
  </si>
  <si>
    <t>https://www.gobilda.com/2303-series-steel-mod-0-8-pinion-gear-8mm-rex-bore-40-tooth/</t>
  </si>
  <si>
    <t>https://www.gobilda.com/2302-series-aluminum-mod-0-8-hub-mount-gear-14mm-bore-60-tooth/</t>
  </si>
  <si>
    <t>MOD 0.8 60T Gear</t>
  </si>
  <si>
    <t>driven gear</t>
  </si>
  <si>
    <t>2302-0014-0060</t>
  </si>
  <si>
    <t>https://www.gobilda.com/1309-series-sonic-hub-8mm-rex-bore/</t>
  </si>
  <si>
    <t>Gear Hub</t>
  </si>
  <si>
    <t>driven gear hub</t>
  </si>
  <si>
    <t>1309-0016-4008</t>
  </si>
  <si>
    <t>Larger Motor</t>
  </si>
  <si>
    <t>https://www.gobilda.com/5203-series-yellow-jacket-planetary-gear-motor-26-9-1-ratio-24mm-length-8mm-rex-shaft-223-rpm-3-3-5v-encoder/</t>
  </si>
  <si>
    <t>5203-2402-0027</t>
  </si>
  <si>
    <t>larger drive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</si>
</sst>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4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4"/>
      <color rgb="FF000000"/>
      <name val="Arial"/>
      <family val="2"/>
    </font>
    <font>
      <b/>
      <sz val="14"/>
      <color rgb="FF4F81BD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sz val="10"/>
      <color rgb="FF00470F"/>
      <name val="Arial"/>
      <family val="2"/>
    </font>
    <font>
      <b/>
      <sz val="10"/>
      <color rgb="FF000000"/>
      <name val="Arial"/>
      <family val="2"/>
    </font>
    <font>
      <u/>
      <sz val="10"/>
      <color theme="10"/>
      <name val="Arial"/>
    </font>
    <font>
      <sz val="10"/>
      <color rgb="FF333333"/>
      <name val="Arial"/>
      <family val="2"/>
    </font>
    <font>
      <sz val="10"/>
      <color rgb="FF0F11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7" xfId="0" applyBorder="1"/>
    <xf numFmtId="0" fontId="7" fillId="0" borderId="0" xfId="0" applyFont="1"/>
    <xf numFmtId="164" fontId="8" fillId="0" borderId="0" xfId="0" applyNumberFormat="1" applyFont="1"/>
    <xf numFmtId="164" fontId="1" fillId="0" borderId="9" xfId="0" applyNumberFormat="1" applyFont="1" applyBorder="1"/>
    <xf numFmtId="0" fontId="1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0" fillId="0" borderId="7" xfId="0" applyBorder="1" applyProtection="1">
      <protection locked="0"/>
    </xf>
    <xf numFmtId="0" fontId="1" fillId="0" borderId="7" xfId="0" applyFont="1" applyBorder="1" applyProtection="1">
      <protection locked="0"/>
    </xf>
    <xf numFmtId="0" fontId="2" fillId="0" borderId="0" xfId="0" applyFont="1" applyProtection="1">
      <protection locked="0"/>
    </xf>
    <xf numFmtId="164" fontId="0" fillId="0" borderId="0" xfId="0" applyNumberFormat="1"/>
    <xf numFmtId="164" fontId="1" fillId="0" borderId="0" xfId="0" applyNumberFormat="1" applyFont="1" applyProtection="1">
      <protection locked="0"/>
    </xf>
    <xf numFmtId="164" fontId="1" fillId="0" borderId="7" xfId="0" applyNumberFormat="1" applyFont="1" applyBorder="1" applyProtection="1">
      <protection locked="0"/>
    </xf>
    <xf numFmtId="0" fontId="2" fillId="0" borderId="0" xfId="0" applyFont="1" applyAlignment="1" applyProtection="1">
      <alignment vertical="top" wrapText="1"/>
      <protection locked="0"/>
    </xf>
    <xf numFmtId="14" fontId="0" fillId="0" borderId="0" xfId="0" applyNumberFormat="1"/>
    <xf numFmtId="14" fontId="1" fillId="0" borderId="0" xfId="0" applyNumberFormat="1" applyFont="1"/>
    <xf numFmtId="14" fontId="3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Protection="1">
      <protection locked="0"/>
    </xf>
    <xf numFmtId="14" fontId="0" fillId="0" borderId="7" xfId="0" applyNumberFormat="1" applyBorder="1" applyProtection="1">
      <protection locked="0"/>
    </xf>
    <xf numFmtId="14" fontId="2" fillId="0" borderId="0" xfId="0" applyNumberFormat="1" applyFont="1" applyProtection="1">
      <protection locked="0"/>
    </xf>
    <xf numFmtId="14" fontId="2" fillId="0" borderId="7" xfId="0" applyNumberFormat="1" applyFont="1" applyBorder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2" fillId="0" borderId="0" xfId="0" applyFont="1" applyAlignment="1" applyProtection="1">
      <alignment wrapText="1"/>
      <protection locked="0"/>
    </xf>
    <xf numFmtId="0" fontId="9" fillId="0" borderId="0" xfId="0" applyFont="1"/>
    <xf numFmtId="0" fontId="10" fillId="0" borderId="0" xfId="0" applyFont="1" applyAlignment="1" applyProtection="1">
      <alignment vertical="top" wrapText="1"/>
      <protection locked="0"/>
    </xf>
    <xf numFmtId="0" fontId="11" fillId="0" borderId="0" xfId="1" applyProtection="1">
      <protection locked="0"/>
    </xf>
    <xf numFmtId="0" fontId="12" fillId="0" borderId="0" xfId="0" applyFont="1"/>
    <xf numFmtId="0" fontId="13" fillId="0" borderId="0" xfId="0" applyFont="1"/>
    <xf numFmtId="0" fontId="3" fillId="2" borderId="1" xfId="0" applyFont="1" applyFill="1" applyBorder="1" applyAlignment="1">
      <alignment horizont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2" xfId="0" applyFont="1" applyBorder="1" applyAlignment="1" applyProtection="1">
      <alignment horizontal="left" vertical="top" wrapText="1"/>
      <protection locked="0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</cellXfs>
  <cellStyles count="2">
    <cellStyle name="Hyperlink" xfId="1" builtinId="8"/>
    <cellStyle name="Normal" xfId="0" builtinId="0"/>
  </cellStyles>
  <dxfs count="2"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bilda.com/2302-series-aluminum-mod-0-8-hub-mount-gear-14mm-bore-60-tooth/" TargetMode="External"/><Relationship Id="rId3" Type="http://schemas.openxmlformats.org/officeDocument/2006/relationships/hyperlink" Target="https://www.mcmaster.com/products/98269a430/" TargetMode="External"/><Relationship Id="rId7" Type="http://schemas.openxmlformats.org/officeDocument/2006/relationships/hyperlink" Target="https://www.gobilda.com/2303-series-steel-mod-0-8-pinion-gear-8mm-rex-bore-40-tooth/" TargetMode="External"/><Relationship Id="rId2" Type="http://schemas.openxmlformats.org/officeDocument/2006/relationships/hyperlink" Target="https://www.mcmaster.com/products/90576a102/" TargetMode="External"/><Relationship Id="rId1" Type="http://schemas.openxmlformats.org/officeDocument/2006/relationships/hyperlink" Target="https://www.mcmaster.com/products/92125a054/" TargetMode="External"/><Relationship Id="rId6" Type="http://schemas.openxmlformats.org/officeDocument/2006/relationships/hyperlink" Target="https://www.mcmaster.com/products/92125a128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mcmaster.com/products/92981a743/" TargetMode="External"/><Relationship Id="rId10" Type="http://schemas.openxmlformats.org/officeDocument/2006/relationships/hyperlink" Target="https://www.gobilda.com/1309-series-sonic-hub-8mm-rex-bore/" TargetMode="External"/><Relationship Id="rId4" Type="http://schemas.openxmlformats.org/officeDocument/2006/relationships/hyperlink" Target="https://www.mcmaster.com/products/92981a145/" TargetMode="External"/><Relationship Id="rId9" Type="http://schemas.openxmlformats.org/officeDocument/2006/relationships/hyperlink" Target="https://www.gobilda.com/5203-series-yellow-jacket-planetary-gear-motor-26-9-1-ratio-24mm-length-8mm-rex-shaft-223-rpm-3-3-5v-enco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zoomScale="90" zoomScaleNormal="90" workbookViewId="0">
      <selection activeCell="F16" sqref="F16"/>
    </sheetView>
  </sheetViews>
  <sheetFormatPr defaultColWidth="14.44140625" defaultRowHeight="15.75" customHeight="1" x14ac:dyDescent="0.25"/>
  <cols>
    <col min="1" max="1" width="15.6640625" style="24" customWidth="1"/>
    <col min="2" max="2" width="15.6640625" customWidth="1"/>
    <col min="3" max="4" width="30.6640625" customWidth="1"/>
    <col min="5" max="5" width="20.6640625" customWidth="1"/>
    <col min="6" max="6" width="30.6640625" customWidth="1"/>
    <col min="7" max="7" width="40.6640625" customWidth="1"/>
    <col min="8" max="8" width="20.6640625" customWidth="1"/>
    <col min="9" max="9" width="15.6640625" style="20" customWidth="1"/>
    <col min="10" max="10" width="15.6640625" customWidth="1"/>
    <col min="11" max="11" width="15.6640625" style="20" customWidth="1"/>
    <col min="12" max="12" width="2.6640625" customWidth="1"/>
    <col min="13" max="14" width="14.44140625" style="24"/>
  </cols>
  <sheetData>
    <row r="1" spans="1:15" ht="15.75" customHeight="1" thickBot="1" x14ac:dyDescent="0.3"/>
    <row r="2" spans="1:15" ht="17.399999999999999" x14ac:dyDescent="0.3">
      <c r="A2" s="39" t="s">
        <v>19</v>
      </c>
      <c r="B2" s="40"/>
      <c r="C2" s="41" t="s">
        <v>21</v>
      </c>
      <c r="D2" s="42"/>
      <c r="E2" s="23"/>
      <c r="F2" s="34" t="s">
        <v>18</v>
      </c>
      <c r="G2" s="14" t="s">
        <v>17</v>
      </c>
      <c r="H2" s="14"/>
      <c r="I2" s="14"/>
      <c r="J2" s="14"/>
      <c r="K2" s="14"/>
      <c r="L2" s="1"/>
      <c r="M2" s="25"/>
      <c r="N2" s="25"/>
      <c r="O2" s="1"/>
    </row>
    <row r="3" spans="1:15" ht="17.399999999999999" x14ac:dyDescent="0.3">
      <c r="A3" s="25"/>
      <c r="B3" s="13"/>
      <c r="C3" s="43"/>
      <c r="D3" s="44"/>
      <c r="E3" s="23"/>
      <c r="F3" s="23"/>
      <c r="G3" s="12"/>
      <c r="H3" s="1"/>
      <c r="I3" s="2"/>
      <c r="J3" s="1"/>
      <c r="K3" s="2"/>
      <c r="L3" s="1"/>
      <c r="M3" s="25"/>
      <c r="N3" s="25"/>
      <c r="O3" s="1"/>
    </row>
    <row r="4" spans="1:15" ht="18" thickBot="1" x14ac:dyDescent="0.35">
      <c r="A4" s="25"/>
      <c r="B4" s="4"/>
      <c r="C4" s="45"/>
      <c r="D4" s="46"/>
      <c r="E4" s="23"/>
      <c r="F4" s="23"/>
      <c r="G4" s="12"/>
      <c r="H4" s="1"/>
      <c r="I4" s="2"/>
      <c r="J4" s="1"/>
      <c r="K4" s="2"/>
      <c r="L4" s="1"/>
      <c r="M4" s="25"/>
      <c r="N4" s="25"/>
      <c r="O4" s="1"/>
    </row>
    <row r="5" spans="1:15" ht="15.75" customHeight="1" x14ac:dyDescent="0.3">
      <c r="A5" s="25"/>
      <c r="B5" s="4"/>
      <c r="C5" s="3"/>
      <c r="D5" s="3"/>
      <c r="E5" s="1"/>
      <c r="F5" s="1"/>
      <c r="G5" s="1"/>
      <c r="H5" s="1"/>
      <c r="I5" s="2"/>
      <c r="J5" s="1"/>
      <c r="K5" s="2"/>
      <c r="L5" s="1"/>
      <c r="M5" s="25"/>
      <c r="N5" s="25"/>
      <c r="O5" s="1"/>
    </row>
    <row r="6" spans="1:15" ht="15.75" customHeight="1" x14ac:dyDescent="0.25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1"/>
      <c r="M6" s="38" t="s">
        <v>1</v>
      </c>
      <c r="N6" s="38"/>
      <c r="O6" s="38"/>
    </row>
    <row r="7" spans="1:15" ht="26.4" x14ac:dyDescent="0.25">
      <c r="A7" s="26" t="s">
        <v>9</v>
      </c>
      <c r="B7" s="6" t="s">
        <v>10</v>
      </c>
      <c r="C7" s="6" t="s">
        <v>13</v>
      </c>
      <c r="D7" s="6" t="s">
        <v>16</v>
      </c>
      <c r="E7" s="6" t="s">
        <v>2</v>
      </c>
      <c r="F7" s="6" t="s">
        <v>14</v>
      </c>
      <c r="G7" s="6" t="s">
        <v>15</v>
      </c>
      <c r="H7" s="6" t="s">
        <v>11</v>
      </c>
      <c r="I7" s="7" t="s">
        <v>12</v>
      </c>
      <c r="J7" s="6" t="s">
        <v>3</v>
      </c>
      <c r="K7" s="7" t="s">
        <v>4</v>
      </c>
      <c r="L7" s="5"/>
      <c r="M7" s="26" t="s">
        <v>5</v>
      </c>
      <c r="N7" s="26" t="s">
        <v>6</v>
      </c>
      <c r="O7" s="6" t="s">
        <v>7</v>
      </c>
    </row>
    <row r="8" spans="1:15" ht="51.6" customHeight="1" x14ac:dyDescent="0.25">
      <c r="A8" s="27">
        <v>46106</v>
      </c>
      <c r="B8" s="16" t="s">
        <v>20</v>
      </c>
      <c r="C8" s="31" t="s">
        <v>22</v>
      </c>
      <c r="D8" s="16" t="s">
        <v>27</v>
      </c>
      <c r="E8" s="19" t="s">
        <v>33</v>
      </c>
      <c r="F8" s="1" t="s">
        <v>34</v>
      </c>
      <c r="G8" s="15"/>
      <c r="H8" s="35" t="s">
        <v>40</v>
      </c>
      <c r="I8" s="21">
        <v>5.55</v>
      </c>
      <c r="J8" s="16">
        <v>1</v>
      </c>
      <c r="K8" s="11">
        <f>I8*J8</f>
        <v>5.55</v>
      </c>
      <c r="M8" s="29"/>
      <c r="N8" s="29"/>
      <c r="O8" s="15"/>
    </row>
    <row r="9" spans="1:15" ht="44.4" customHeight="1" x14ac:dyDescent="0.25">
      <c r="A9" s="27">
        <v>46106</v>
      </c>
      <c r="B9" s="16" t="s">
        <v>20</v>
      </c>
      <c r="C9" s="31" t="s">
        <v>23</v>
      </c>
      <c r="D9" s="16" t="s">
        <v>26</v>
      </c>
      <c r="E9" s="19" t="s">
        <v>33</v>
      </c>
      <c r="F9" s="19" t="s">
        <v>35</v>
      </c>
      <c r="G9" s="32"/>
      <c r="H9" s="35" t="s">
        <v>41</v>
      </c>
      <c r="I9" s="21">
        <v>3.13</v>
      </c>
      <c r="J9" s="16">
        <v>1</v>
      </c>
      <c r="K9" s="11">
        <f t="shared" ref="K9:K72" si="0">I9*J9</f>
        <v>3.13</v>
      </c>
      <c r="M9" s="29"/>
      <c r="N9" s="29"/>
      <c r="O9" s="15"/>
    </row>
    <row r="10" spans="1:15" ht="13.2" x14ac:dyDescent="0.25">
      <c r="A10" s="27">
        <v>46106</v>
      </c>
      <c r="B10" s="16" t="s">
        <v>20</v>
      </c>
      <c r="C10" s="31" t="s">
        <v>24</v>
      </c>
      <c r="D10" s="16" t="s">
        <v>25</v>
      </c>
      <c r="E10" s="19" t="s">
        <v>33</v>
      </c>
      <c r="F10" s="36" t="s">
        <v>36</v>
      </c>
      <c r="G10" s="19"/>
      <c r="H10" s="35" t="s">
        <v>42</v>
      </c>
      <c r="I10" s="21">
        <v>2.93</v>
      </c>
      <c r="J10" s="16">
        <v>10</v>
      </c>
      <c r="K10" s="11">
        <f t="shared" si="0"/>
        <v>29.3</v>
      </c>
      <c r="M10" s="29"/>
      <c r="N10" s="29"/>
      <c r="O10" s="15"/>
    </row>
    <row r="11" spans="1:15" ht="13.2" x14ac:dyDescent="0.25">
      <c r="A11" s="27">
        <v>46106</v>
      </c>
      <c r="B11" s="16" t="s">
        <v>20</v>
      </c>
      <c r="C11" s="31" t="s">
        <v>28</v>
      </c>
      <c r="D11" s="16" t="s">
        <v>29</v>
      </c>
      <c r="E11" s="19" t="s">
        <v>33</v>
      </c>
      <c r="F11" s="37" t="s">
        <v>37</v>
      </c>
      <c r="G11" s="19"/>
      <c r="H11" s="35" t="s">
        <v>43</v>
      </c>
      <c r="I11" s="21">
        <v>2.86</v>
      </c>
      <c r="J11" s="16">
        <v>26</v>
      </c>
      <c r="K11" s="11">
        <f t="shared" si="0"/>
        <v>74.36</v>
      </c>
      <c r="M11" s="29"/>
      <c r="N11" s="29"/>
      <c r="O11" s="15"/>
    </row>
    <row r="12" spans="1:15" ht="13.2" x14ac:dyDescent="0.25">
      <c r="A12" s="27">
        <v>46106</v>
      </c>
      <c r="B12" s="16" t="s">
        <v>20</v>
      </c>
      <c r="C12" s="31" t="s">
        <v>31</v>
      </c>
      <c r="D12" s="16" t="s">
        <v>30</v>
      </c>
      <c r="E12" s="19" t="s">
        <v>33</v>
      </c>
      <c r="F12" s="36" t="s">
        <v>38</v>
      </c>
      <c r="G12" s="32"/>
      <c r="H12" s="35" t="s">
        <v>44</v>
      </c>
      <c r="I12" s="21">
        <v>5</v>
      </c>
      <c r="J12" s="16">
        <v>1</v>
      </c>
      <c r="K12" s="11">
        <f t="shared" si="0"/>
        <v>5</v>
      </c>
      <c r="M12" s="29"/>
      <c r="N12" s="29"/>
      <c r="O12" s="15"/>
    </row>
    <row r="13" spans="1:15" ht="13.2" x14ac:dyDescent="0.25">
      <c r="A13" s="27">
        <v>46106</v>
      </c>
      <c r="B13" s="16" t="s">
        <v>20</v>
      </c>
      <c r="C13" s="31" t="s">
        <v>32</v>
      </c>
      <c r="D13" s="16" t="s">
        <v>30</v>
      </c>
      <c r="E13" s="19" t="s">
        <v>33</v>
      </c>
      <c r="F13" s="36" t="s">
        <v>39</v>
      </c>
      <c r="G13" s="32"/>
      <c r="H13" s="35" t="s">
        <v>45</v>
      </c>
      <c r="I13" s="21">
        <v>7.08</v>
      </c>
      <c r="J13" s="16">
        <v>1</v>
      </c>
      <c r="K13" s="11">
        <f t="shared" si="0"/>
        <v>7.08</v>
      </c>
      <c r="M13" s="29"/>
      <c r="N13" s="29"/>
      <c r="O13" s="15"/>
    </row>
    <row r="14" spans="1:15" ht="15.75" customHeight="1" x14ac:dyDescent="0.25">
      <c r="A14" s="27">
        <v>46106</v>
      </c>
      <c r="B14" s="16" t="s">
        <v>20</v>
      </c>
      <c r="C14" s="16" t="s">
        <v>48</v>
      </c>
      <c r="D14" s="16" t="s">
        <v>49</v>
      </c>
      <c r="E14" s="19" t="s">
        <v>46</v>
      </c>
      <c r="F14" s="19" t="s">
        <v>47</v>
      </c>
      <c r="G14" s="19"/>
      <c r="H14" s="35" t="s">
        <v>50</v>
      </c>
      <c r="I14" s="21">
        <v>12.99</v>
      </c>
      <c r="J14" s="16">
        <v>2</v>
      </c>
      <c r="K14" s="11">
        <f t="shared" si="0"/>
        <v>25.98</v>
      </c>
      <c r="M14" s="29"/>
      <c r="N14" s="29"/>
      <c r="O14" s="15"/>
    </row>
    <row r="15" spans="1:15" ht="13.2" x14ac:dyDescent="0.25">
      <c r="A15" s="27">
        <v>46106</v>
      </c>
      <c r="B15" s="16" t="s">
        <v>20</v>
      </c>
      <c r="C15" s="31" t="s">
        <v>52</v>
      </c>
      <c r="D15" s="16" t="s">
        <v>53</v>
      </c>
      <c r="E15" s="19" t="s">
        <v>46</v>
      </c>
      <c r="F15" s="33" t="s">
        <v>54</v>
      </c>
      <c r="G15" s="32"/>
      <c r="H15" s="35" t="s">
        <v>51</v>
      </c>
      <c r="I15" s="21">
        <v>11.39</v>
      </c>
      <c r="J15" s="16">
        <v>2</v>
      </c>
      <c r="K15" s="11">
        <f t="shared" si="0"/>
        <v>22.78</v>
      </c>
      <c r="M15" s="29"/>
      <c r="N15" s="29"/>
      <c r="O15" s="15"/>
    </row>
    <row r="16" spans="1:15" ht="13.2" x14ac:dyDescent="0.25">
      <c r="A16" s="27">
        <v>46106</v>
      </c>
      <c r="B16" s="16" t="s">
        <v>20</v>
      </c>
      <c r="C16" s="31" t="s">
        <v>56</v>
      </c>
      <c r="D16" s="16" t="s">
        <v>57</v>
      </c>
      <c r="E16" s="19" t="s">
        <v>46</v>
      </c>
      <c r="F16" s="36" t="s">
        <v>58</v>
      </c>
      <c r="G16" s="32"/>
      <c r="H16" s="35" t="s">
        <v>55</v>
      </c>
      <c r="I16" s="21">
        <v>7.99</v>
      </c>
      <c r="J16" s="16">
        <v>2</v>
      </c>
      <c r="K16" s="11">
        <f t="shared" si="0"/>
        <v>15.98</v>
      </c>
      <c r="M16" s="29"/>
      <c r="N16" s="29"/>
      <c r="O16" s="15"/>
    </row>
    <row r="17" spans="1:15" ht="13.2" x14ac:dyDescent="0.25">
      <c r="A17" s="27">
        <v>46106</v>
      </c>
      <c r="B17" s="16" t="s">
        <v>20</v>
      </c>
      <c r="C17" s="31" t="s">
        <v>59</v>
      </c>
      <c r="D17" s="16" t="s">
        <v>62</v>
      </c>
      <c r="E17" s="19" t="s">
        <v>46</v>
      </c>
      <c r="F17" s="36" t="s">
        <v>61</v>
      </c>
      <c r="G17" s="32"/>
      <c r="H17" s="35" t="s">
        <v>60</v>
      </c>
      <c r="I17" s="21">
        <v>54.99</v>
      </c>
      <c r="J17" s="16">
        <v>2</v>
      </c>
      <c r="K17" s="11">
        <f t="shared" si="0"/>
        <v>109.98</v>
      </c>
      <c r="M17" s="29"/>
      <c r="N17" s="29"/>
      <c r="O17" s="15"/>
    </row>
    <row r="18" spans="1:15" ht="15.75" customHeight="1" x14ac:dyDescent="0.25">
      <c r="A18" s="27"/>
      <c r="B18" s="16"/>
      <c r="C18" s="16"/>
      <c r="D18" s="16"/>
      <c r="E18" s="15"/>
      <c r="F18" s="15"/>
      <c r="G18" s="15"/>
      <c r="H18" s="15"/>
      <c r="I18" s="21"/>
      <c r="J18" s="16"/>
      <c r="K18" s="11">
        <f t="shared" si="0"/>
        <v>0</v>
      </c>
      <c r="M18" s="29"/>
      <c r="N18" s="29"/>
      <c r="O18" s="15"/>
    </row>
    <row r="19" spans="1:15" ht="15.75" customHeight="1" x14ac:dyDescent="0.25">
      <c r="A19" s="27"/>
      <c r="B19" s="16"/>
      <c r="C19" s="16"/>
      <c r="D19" s="16"/>
      <c r="E19" s="15"/>
      <c r="F19" s="15"/>
      <c r="G19" s="15"/>
      <c r="H19" s="15"/>
      <c r="I19" s="21"/>
      <c r="J19" s="16"/>
      <c r="K19" s="11">
        <f t="shared" si="0"/>
        <v>0</v>
      </c>
      <c r="M19" s="29"/>
      <c r="N19" s="29"/>
      <c r="O19" s="15"/>
    </row>
    <row r="20" spans="1:15" ht="15.75" customHeight="1" x14ac:dyDescent="0.25">
      <c r="A20" s="27"/>
      <c r="B20" s="16"/>
      <c r="C20" s="16"/>
      <c r="D20" s="16"/>
      <c r="E20" s="15"/>
      <c r="F20" s="15"/>
      <c r="G20" s="15"/>
      <c r="H20" s="15"/>
      <c r="I20" s="21"/>
      <c r="J20" s="16"/>
      <c r="K20" s="11">
        <f t="shared" si="0"/>
        <v>0</v>
      </c>
      <c r="M20" s="29"/>
      <c r="N20" s="29"/>
      <c r="O20" s="15"/>
    </row>
    <row r="21" spans="1:15" ht="15.75" customHeight="1" x14ac:dyDescent="0.25">
      <c r="A21" s="27"/>
      <c r="B21" s="16"/>
      <c r="C21" s="16"/>
      <c r="D21" s="16"/>
      <c r="E21" s="15"/>
      <c r="F21" s="15"/>
      <c r="G21" s="15"/>
      <c r="H21" s="15"/>
      <c r="I21" s="21"/>
      <c r="J21" s="16"/>
      <c r="K21" s="11">
        <f t="shared" si="0"/>
        <v>0</v>
      </c>
      <c r="M21" s="29"/>
      <c r="N21" s="29"/>
      <c r="O21" s="15"/>
    </row>
    <row r="22" spans="1:15" ht="15.75" customHeight="1" x14ac:dyDescent="0.25">
      <c r="A22" s="27"/>
      <c r="B22" s="16"/>
      <c r="C22" s="16"/>
      <c r="D22" s="16"/>
      <c r="E22" s="15"/>
      <c r="F22" s="15"/>
      <c r="G22" s="15"/>
      <c r="H22" s="15"/>
      <c r="I22" s="21"/>
      <c r="J22" s="16"/>
      <c r="K22" s="11">
        <f t="shared" si="0"/>
        <v>0</v>
      </c>
      <c r="M22" s="29"/>
      <c r="N22" s="29"/>
      <c r="O22" s="15"/>
    </row>
    <row r="23" spans="1:15" ht="15.75" customHeight="1" x14ac:dyDescent="0.25">
      <c r="A23" s="27"/>
      <c r="B23" s="16"/>
      <c r="C23" s="16"/>
      <c r="D23" s="16"/>
      <c r="E23" s="15"/>
      <c r="F23" s="15"/>
      <c r="G23" s="15"/>
      <c r="H23" s="15"/>
      <c r="I23" s="21"/>
      <c r="J23" s="16"/>
      <c r="K23" s="11">
        <f t="shared" si="0"/>
        <v>0</v>
      </c>
      <c r="M23" s="29"/>
      <c r="N23" s="29"/>
      <c r="O23" s="15"/>
    </row>
    <row r="24" spans="1:15" ht="15.75" customHeight="1" x14ac:dyDescent="0.25">
      <c r="A24" s="27"/>
      <c r="B24" s="16"/>
      <c r="C24" s="16"/>
      <c r="D24" s="16"/>
      <c r="E24" s="15"/>
      <c r="F24" s="15"/>
      <c r="G24" s="15"/>
      <c r="H24" s="15"/>
      <c r="I24" s="21"/>
      <c r="J24" s="16"/>
      <c r="K24" s="11">
        <f t="shared" si="0"/>
        <v>0</v>
      </c>
      <c r="M24" s="29"/>
      <c r="N24" s="29"/>
      <c r="O24" s="15"/>
    </row>
    <row r="25" spans="1:15" ht="15.75" customHeight="1" x14ac:dyDescent="0.25">
      <c r="A25" s="27"/>
      <c r="B25" s="16"/>
      <c r="C25" s="16"/>
      <c r="D25" s="16"/>
      <c r="E25" s="15"/>
      <c r="F25" s="15"/>
      <c r="G25" s="15"/>
      <c r="H25" s="15"/>
      <c r="I25" s="21"/>
      <c r="J25" s="16"/>
      <c r="K25" s="11">
        <f t="shared" si="0"/>
        <v>0</v>
      </c>
      <c r="M25" s="29"/>
      <c r="N25" s="29"/>
      <c r="O25" s="15"/>
    </row>
    <row r="26" spans="1:15" ht="15.75" customHeight="1" x14ac:dyDescent="0.25">
      <c r="A26" s="27"/>
      <c r="B26" s="16"/>
      <c r="C26" s="16"/>
      <c r="D26" s="16"/>
      <c r="E26" s="15"/>
      <c r="F26" s="15"/>
      <c r="G26" s="15"/>
      <c r="H26" s="15"/>
      <c r="I26" s="21"/>
      <c r="J26" s="16"/>
      <c r="K26" s="11">
        <f t="shared" si="0"/>
        <v>0</v>
      </c>
      <c r="M26" s="29"/>
      <c r="N26" s="29"/>
      <c r="O26" s="15"/>
    </row>
    <row r="27" spans="1:15" ht="15.75" customHeight="1" x14ac:dyDescent="0.25">
      <c r="A27" s="27"/>
      <c r="B27" s="16"/>
      <c r="C27" s="16"/>
      <c r="D27" s="16"/>
      <c r="E27" s="15"/>
      <c r="F27" s="15"/>
      <c r="G27" s="15"/>
      <c r="H27" s="15"/>
      <c r="I27" s="21"/>
      <c r="J27" s="16"/>
      <c r="K27" s="11">
        <f t="shared" si="0"/>
        <v>0</v>
      </c>
      <c r="M27" s="29"/>
      <c r="N27" s="29"/>
      <c r="O27" s="15"/>
    </row>
    <row r="28" spans="1:15" ht="15.75" customHeight="1" x14ac:dyDescent="0.25">
      <c r="A28" s="27"/>
      <c r="B28" s="16"/>
      <c r="C28" s="16"/>
      <c r="D28" s="16"/>
      <c r="E28" s="15"/>
      <c r="F28" s="15"/>
      <c r="G28" s="15"/>
      <c r="H28" s="15"/>
      <c r="I28" s="21"/>
      <c r="J28" s="16"/>
      <c r="K28" s="11">
        <f t="shared" si="0"/>
        <v>0</v>
      </c>
      <c r="M28" s="29"/>
      <c r="N28" s="29"/>
      <c r="O28" s="15"/>
    </row>
    <row r="29" spans="1:15" ht="15.75" customHeight="1" x14ac:dyDescent="0.25">
      <c r="A29" s="27"/>
      <c r="B29" s="16"/>
      <c r="C29" s="16"/>
      <c r="D29" s="16"/>
      <c r="E29" s="15"/>
      <c r="F29" s="15"/>
      <c r="G29" s="15"/>
      <c r="H29" s="15"/>
      <c r="I29" s="21"/>
      <c r="J29" s="16"/>
      <c r="K29" s="11">
        <f t="shared" si="0"/>
        <v>0</v>
      </c>
      <c r="M29" s="29"/>
      <c r="N29" s="29"/>
      <c r="O29" s="15"/>
    </row>
    <row r="30" spans="1:15" ht="15.75" customHeight="1" x14ac:dyDescent="0.25">
      <c r="A30" s="27"/>
      <c r="B30" s="16"/>
      <c r="C30" s="16"/>
      <c r="D30" s="16"/>
      <c r="E30" s="15"/>
      <c r="F30" s="15"/>
      <c r="G30" s="15"/>
      <c r="H30" s="15"/>
      <c r="I30" s="21"/>
      <c r="J30" s="16"/>
      <c r="K30" s="11">
        <f t="shared" si="0"/>
        <v>0</v>
      </c>
      <c r="M30" s="29"/>
      <c r="N30" s="29"/>
      <c r="O30" s="15"/>
    </row>
    <row r="31" spans="1:15" ht="15.75" customHeight="1" x14ac:dyDescent="0.25">
      <c r="A31" s="27"/>
      <c r="B31" s="16"/>
      <c r="C31" s="16"/>
      <c r="D31" s="16"/>
      <c r="E31" s="15"/>
      <c r="F31" s="15"/>
      <c r="G31" s="15"/>
      <c r="H31" s="15"/>
      <c r="I31" s="21"/>
      <c r="J31" s="16"/>
      <c r="K31" s="11">
        <f t="shared" si="0"/>
        <v>0</v>
      </c>
      <c r="M31" s="29"/>
      <c r="N31" s="29"/>
      <c r="O31" s="15"/>
    </row>
    <row r="32" spans="1:15" ht="15.75" customHeight="1" x14ac:dyDescent="0.25">
      <c r="A32" s="27"/>
      <c r="B32" s="16"/>
      <c r="C32" s="16"/>
      <c r="D32" s="16"/>
      <c r="E32" s="15"/>
      <c r="F32" s="15"/>
      <c r="G32" s="15"/>
      <c r="H32" s="15"/>
      <c r="I32" s="21"/>
      <c r="J32" s="16"/>
      <c r="K32" s="11">
        <f t="shared" si="0"/>
        <v>0</v>
      </c>
      <c r="M32" s="29"/>
      <c r="N32" s="29"/>
      <c r="O32" s="15"/>
    </row>
    <row r="33" spans="1:15" ht="15.75" customHeight="1" x14ac:dyDescent="0.25">
      <c r="A33" s="27"/>
      <c r="B33" s="16"/>
      <c r="C33" s="16"/>
      <c r="D33" s="16"/>
      <c r="E33" s="15"/>
      <c r="F33" s="15"/>
      <c r="G33" s="15"/>
      <c r="H33" s="15"/>
      <c r="I33" s="21"/>
      <c r="J33" s="16"/>
      <c r="K33" s="11">
        <f t="shared" si="0"/>
        <v>0</v>
      </c>
      <c r="M33" s="29"/>
      <c r="N33" s="29"/>
      <c r="O33" s="15"/>
    </row>
    <row r="34" spans="1:15" ht="15.75" customHeight="1" x14ac:dyDescent="0.25">
      <c r="A34" s="27"/>
      <c r="B34" s="16"/>
      <c r="C34" s="16"/>
      <c r="D34" s="16"/>
      <c r="E34" s="15"/>
      <c r="F34" s="15"/>
      <c r="G34" s="15"/>
      <c r="H34" s="15"/>
      <c r="I34" s="21"/>
      <c r="J34" s="16"/>
      <c r="K34" s="11">
        <f t="shared" si="0"/>
        <v>0</v>
      </c>
      <c r="M34" s="29"/>
      <c r="N34" s="29"/>
      <c r="O34" s="15"/>
    </row>
    <row r="35" spans="1:15" ht="15.75" customHeight="1" x14ac:dyDescent="0.25">
      <c r="A35" s="27"/>
      <c r="B35" s="16"/>
      <c r="C35" s="16"/>
      <c r="D35" s="16"/>
      <c r="E35" s="15"/>
      <c r="F35" s="15"/>
      <c r="G35" s="15"/>
      <c r="H35" s="15"/>
      <c r="I35" s="21"/>
      <c r="J35" s="16"/>
      <c r="K35" s="11">
        <f t="shared" si="0"/>
        <v>0</v>
      </c>
      <c r="M35" s="29"/>
      <c r="N35" s="29"/>
      <c r="O35" s="15"/>
    </row>
    <row r="36" spans="1:15" ht="15.75" customHeight="1" x14ac:dyDescent="0.25">
      <c r="A36" s="27"/>
      <c r="B36" s="16"/>
      <c r="C36" s="16"/>
      <c r="D36" s="16"/>
      <c r="E36" s="15"/>
      <c r="F36" s="15"/>
      <c r="G36" s="15"/>
      <c r="H36" s="15"/>
      <c r="I36" s="21"/>
      <c r="J36" s="16"/>
      <c r="K36" s="11">
        <f t="shared" si="0"/>
        <v>0</v>
      </c>
      <c r="M36" s="29"/>
      <c r="N36" s="29"/>
      <c r="O36" s="15"/>
    </row>
    <row r="37" spans="1:15" ht="15.75" customHeight="1" x14ac:dyDescent="0.25">
      <c r="A37" s="27"/>
      <c r="B37" s="16"/>
      <c r="C37" s="16"/>
      <c r="D37" s="16"/>
      <c r="E37" s="15"/>
      <c r="F37" s="15"/>
      <c r="G37" s="15"/>
      <c r="H37" s="15"/>
      <c r="I37" s="21"/>
      <c r="J37" s="16"/>
      <c r="K37" s="11">
        <f t="shared" si="0"/>
        <v>0</v>
      </c>
      <c r="M37" s="29"/>
      <c r="N37" s="29"/>
      <c r="O37" s="15"/>
    </row>
    <row r="38" spans="1:15" ht="15.75" customHeight="1" x14ac:dyDescent="0.25">
      <c r="A38" s="27"/>
      <c r="B38" s="16"/>
      <c r="C38" s="16"/>
      <c r="D38" s="16"/>
      <c r="E38" s="15"/>
      <c r="F38" s="15"/>
      <c r="G38" s="15"/>
      <c r="H38" s="15"/>
      <c r="I38" s="21"/>
      <c r="J38" s="16"/>
      <c r="K38" s="11">
        <f t="shared" si="0"/>
        <v>0</v>
      </c>
      <c r="M38" s="29"/>
      <c r="N38" s="29"/>
      <c r="O38" s="15"/>
    </row>
    <row r="39" spans="1:15" ht="15.75" customHeight="1" x14ac:dyDescent="0.25">
      <c r="A39" s="27"/>
      <c r="B39" s="16"/>
      <c r="C39" s="16"/>
      <c r="D39" s="16"/>
      <c r="E39" s="15"/>
      <c r="F39" s="15"/>
      <c r="G39" s="15"/>
      <c r="H39" s="15"/>
      <c r="I39" s="21"/>
      <c r="J39" s="16"/>
      <c r="K39" s="11">
        <f t="shared" si="0"/>
        <v>0</v>
      </c>
      <c r="M39" s="29"/>
      <c r="N39" s="29"/>
      <c r="O39" s="15"/>
    </row>
    <row r="40" spans="1:15" ht="15.75" customHeight="1" x14ac:dyDescent="0.25">
      <c r="A40" s="27"/>
      <c r="B40" s="16"/>
      <c r="C40" s="16"/>
      <c r="D40" s="16"/>
      <c r="E40" s="15"/>
      <c r="F40" s="15"/>
      <c r="G40" s="15"/>
      <c r="H40" s="15"/>
      <c r="I40" s="21"/>
      <c r="J40" s="16"/>
      <c r="K40" s="11">
        <f t="shared" si="0"/>
        <v>0</v>
      </c>
      <c r="M40" s="29"/>
      <c r="N40" s="29"/>
      <c r="O40" s="15"/>
    </row>
    <row r="41" spans="1:15" ht="15.75" customHeight="1" x14ac:dyDescent="0.25">
      <c r="A41" s="27"/>
      <c r="B41" s="16"/>
      <c r="C41" s="16"/>
      <c r="D41" s="16"/>
      <c r="E41" s="15"/>
      <c r="F41" s="15"/>
      <c r="G41" s="15"/>
      <c r="H41" s="15"/>
      <c r="I41" s="21"/>
      <c r="J41" s="16"/>
      <c r="K41" s="11">
        <f t="shared" si="0"/>
        <v>0</v>
      </c>
      <c r="M41" s="29"/>
      <c r="N41" s="29"/>
      <c r="O41" s="15"/>
    </row>
    <row r="42" spans="1:15" ht="15.75" customHeight="1" x14ac:dyDescent="0.25">
      <c r="A42" s="27"/>
      <c r="B42" s="16"/>
      <c r="C42" s="16"/>
      <c r="D42" s="16"/>
      <c r="E42" s="15"/>
      <c r="F42" s="15"/>
      <c r="G42" s="15"/>
      <c r="H42" s="15"/>
      <c r="I42" s="21"/>
      <c r="J42" s="16"/>
      <c r="K42" s="11">
        <f t="shared" si="0"/>
        <v>0</v>
      </c>
      <c r="M42" s="29"/>
      <c r="N42" s="29"/>
      <c r="O42" s="15"/>
    </row>
    <row r="43" spans="1:15" ht="15.75" customHeight="1" x14ac:dyDescent="0.25">
      <c r="A43" s="27"/>
      <c r="B43" s="16"/>
      <c r="C43" s="16"/>
      <c r="D43" s="16"/>
      <c r="E43" s="15"/>
      <c r="F43" s="15"/>
      <c r="G43" s="15"/>
      <c r="H43" s="15"/>
      <c r="I43" s="21"/>
      <c r="J43" s="16"/>
      <c r="K43" s="11">
        <f t="shared" si="0"/>
        <v>0</v>
      </c>
      <c r="M43" s="29"/>
      <c r="N43" s="29"/>
      <c r="O43" s="15"/>
    </row>
    <row r="44" spans="1:15" ht="15.75" customHeight="1" x14ac:dyDescent="0.25">
      <c r="A44" s="27"/>
      <c r="B44" s="16"/>
      <c r="C44" s="16"/>
      <c r="D44" s="16"/>
      <c r="E44" s="15"/>
      <c r="F44" s="15"/>
      <c r="G44" s="15"/>
      <c r="H44" s="15"/>
      <c r="I44" s="21"/>
      <c r="J44" s="16"/>
      <c r="K44" s="11">
        <f t="shared" si="0"/>
        <v>0</v>
      </c>
      <c r="M44" s="29"/>
      <c r="N44" s="29"/>
      <c r="O44" s="15"/>
    </row>
    <row r="45" spans="1:15" ht="15.75" customHeight="1" x14ac:dyDescent="0.25">
      <c r="A45" s="27"/>
      <c r="B45" s="16"/>
      <c r="C45" s="16"/>
      <c r="D45" s="16"/>
      <c r="E45" s="15"/>
      <c r="F45" s="15"/>
      <c r="G45" s="15"/>
      <c r="H45" s="15"/>
      <c r="I45" s="21"/>
      <c r="J45" s="16"/>
      <c r="K45" s="11">
        <f t="shared" si="0"/>
        <v>0</v>
      </c>
      <c r="M45" s="29"/>
      <c r="N45" s="29"/>
      <c r="O45" s="15"/>
    </row>
    <row r="46" spans="1:15" ht="15.75" customHeight="1" x14ac:dyDescent="0.25">
      <c r="A46" s="27"/>
      <c r="B46" s="16"/>
      <c r="C46" s="16"/>
      <c r="D46" s="16"/>
      <c r="E46" s="15"/>
      <c r="F46" s="15"/>
      <c r="G46" s="15"/>
      <c r="H46" s="15"/>
      <c r="I46" s="21"/>
      <c r="J46" s="16"/>
      <c r="K46" s="11">
        <f t="shared" si="0"/>
        <v>0</v>
      </c>
      <c r="M46" s="29"/>
      <c r="N46" s="29"/>
      <c r="O46" s="15"/>
    </row>
    <row r="47" spans="1:15" ht="15.75" customHeight="1" x14ac:dyDescent="0.25">
      <c r="A47" s="27"/>
      <c r="B47" s="16"/>
      <c r="C47" s="16"/>
      <c r="D47" s="16"/>
      <c r="E47" s="15"/>
      <c r="F47" s="15"/>
      <c r="G47" s="15"/>
      <c r="H47" s="15"/>
      <c r="I47" s="21"/>
      <c r="J47" s="16"/>
      <c r="K47" s="11">
        <f t="shared" si="0"/>
        <v>0</v>
      </c>
      <c r="M47" s="29"/>
      <c r="N47" s="29"/>
      <c r="O47" s="15"/>
    </row>
    <row r="48" spans="1:15" ht="15.75" customHeight="1" x14ac:dyDescent="0.25">
      <c r="A48" s="27"/>
      <c r="B48" s="16"/>
      <c r="C48" s="16"/>
      <c r="D48" s="16"/>
      <c r="E48" s="15"/>
      <c r="F48" s="15"/>
      <c r="G48" s="15"/>
      <c r="H48" s="15"/>
      <c r="I48" s="21"/>
      <c r="J48" s="16"/>
      <c r="K48" s="11">
        <f t="shared" si="0"/>
        <v>0</v>
      </c>
      <c r="M48" s="29"/>
      <c r="N48" s="29"/>
      <c r="O48" s="15"/>
    </row>
    <row r="49" spans="1:15" ht="15.75" customHeight="1" x14ac:dyDescent="0.25">
      <c r="A49" s="27"/>
      <c r="B49" s="16"/>
      <c r="C49" s="16"/>
      <c r="D49" s="16"/>
      <c r="E49" s="15"/>
      <c r="F49" s="15"/>
      <c r="G49" s="15"/>
      <c r="H49" s="15"/>
      <c r="I49" s="21"/>
      <c r="J49" s="16"/>
      <c r="K49" s="11">
        <f t="shared" si="0"/>
        <v>0</v>
      </c>
      <c r="M49" s="29"/>
      <c r="N49" s="29"/>
      <c r="O49" s="15"/>
    </row>
    <row r="50" spans="1:15" ht="15.75" customHeight="1" x14ac:dyDescent="0.25">
      <c r="A50" s="27"/>
      <c r="B50" s="16"/>
      <c r="C50" s="16"/>
      <c r="D50" s="16"/>
      <c r="E50" s="15"/>
      <c r="F50" s="15"/>
      <c r="G50" s="15"/>
      <c r="H50" s="15"/>
      <c r="I50" s="21"/>
      <c r="J50" s="16"/>
      <c r="K50" s="11">
        <f t="shared" si="0"/>
        <v>0</v>
      </c>
      <c r="M50" s="29"/>
      <c r="N50" s="29"/>
      <c r="O50" s="15"/>
    </row>
    <row r="51" spans="1:15" ht="15.75" customHeight="1" x14ac:dyDescent="0.25">
      <c r="A51" s="27"/>
      <c r="B51" s="16"/>
      <c r="C51" s="16"/>
      <c r="D51" s="16"/>
      <c r="E51" s="15"/>
      <c r="F51" s="15"/>
      <c r="G51" s="15"/>
      <c r="H51" s="15"/>
      <c r="I51" s="21"/>
      <c r="J51" s="16"/>
      <c r="K51" s="11">
        <f t="shared" si="0"/>
        <v>0</v>
      </c>
      <c r="M51" s="29"/>
      <c r="N51" s="29"/>
      <c r="O51" s="15"/>
    </row>
    <row r="52" spans="1:15" ht="15.75" customHeight="1" x14ac:dyDescent="0.25">
      <c r="A52" s="27"/>
      <c r="B52" s="16"/>
      <c r="C52" s="16"/>
      <c r="D52" s="16"/>
      <c r="E52" s="15"/>
      <c r="F52" s="15"/>
      <c r="G52" s="15"/>
      <c r="H52" s="15"/>
      <c r="I52" s="21"/>
      <c r="J52" s="16"/>
      <c r="K52" s="11">
        <f t="shared" si="0"/>
        <v>0</v>
      </c>
      <c r="M52" s="29"/>
      <c r="N52" s="29"/>
      <c r="O52" s="15"/>
    </row>
    <row r="53" spans="1:15" ht="15.75" customHeight="1" x14ac:dyDescent="0.25">
      <c r="A53" s="27"/>
      <c r="B53" s="16"/>
      <c r="C53" s="16"/>
      <c r="D53" s="16"/>
      <c r="E53" s="15"/>
      <c r="F53" s="15"/>
      <c r="G53" s="15"/>
      <c r="H53" s="15"/>
      <c r="I53" s="21"/>
      <c r="J53" s="16"/>
      <c r="K53" s="11">
        <f t="shared" si="0"/>
        <v>0</v>
      </c>
      <c r="M53" s="29"/>
      <c r="N53" s="29"/>
      <c r="O53" s="15"/>
    </row>
    <row r="54" spans="1:15" ht="15.75" customHeight="1" x14ac:dyDescent="0.25">
      <c r="A54" s="27"/>
      <c r="B54" s="16"/>
      <c r="C54" s="16"/>
      <c r="D54" s="16"/>
      <c r="E54" s="15"/>
      <c r="F54" s="15"/>
      <c r="G54" s="15"/>
      <c r="H54" s="15"/>
      <c r="I54" s="21"/>
      <c r="J54" s="16"/>
      <c r="K54" s="11">
        <f t="shared" si="0"/>
        <v>0</v>
      </c>
      <c r="M54" s="29"/>
      <c r="N54" s="29"/>
      <c r="O54" s="15"/>
    </row>
    <row r="55" spans="1:15" ht="15.75" customHeight="1" x14ac:dyDescent="0.25">
      <c r="A55" s="27"/>
      <c r="B55" s="16"/>
      <c r="C55" s="16"/>
      <c r="D55" s="16"/>
      <c r="E55" s="15"/>
      <c r="F55" s="15"/>
      <c r="G55" s="15"/>
      <c r="H55" s="15"/>
      <c r="I55" s="21"/>
      <c r="J55" s="16"/>
      <c r="K55" s="11">
        <f t="shared" si="0"/>
        <v>0</v>
      </c>
      <c r="M55" s="29"/>
      <c r="N55" s="29"/>
      <c r="O55" s="15"/>
    </row>
    <row r="56" spans="1:15" ht="15.75" customHeight="1" x14ac:dyDescent="0.25">
      <c r="A56" s="27"/>
      <c r="B56" s="16"/>
      <c r="C56" s="16"/>
      <c r="D56" s="16"/>
      <c r="E56" s="15"/>
      <c r="F56" s="15"/>
      <c r="G56" s="15"/>
      <c r="H56" s="15"/>
      <c r="I56" s="21"/>
      <c r="J56" s="16"/>
      <c r="K56" s="11">
        <f t="shared" si="0"/>
        <v>0</v>
      </c>
      <c r="M56" s="29"/>
      <c r="N56" s="29"/>
      <c r="O56" s="15"/>
    </row>
    <row r="57" spans="1:15" ht="15.75" customHeight="1" x14ac:dyDescent="0.25">
      <c r="A57" s="27"/>
      <c r="B57" s="16"/>
      <c r="C57" s="16"/>
      <c r="D57" s="16"/>
      <c r="E57" s="15"/>
      <c r="F57" s="15"/>
      <c r="G57" s="15"/>
      <c r="H57" s="15"/>
      <c r="I57" s="21"/>
      <c r="J57" s="16"/>
      <c r="K57" s="11">
        <f t="shared" si="0"/>
        <v>0</v>
      </c>
      <c r="M57" s="29"/>
      <c r="N57" s="29"/>
      <c r="O57" s="15"/>
    </row>
    <row r="58" spans="1:15" ht="15.75" customHeight="1" x14ac:dyDescent="0.25">
      <c r="A58" s="27"/>
      <c r="B58" s="16"/>
      <c r="C58" s="16"/>
      <c r="D58" s="16"/>
      <c r="E58" s="15"/>
      <c r="F58" s="15"/>
      <c r="G58" s="15"/>
      <c r="H58" s="15"/>
      <c r="I58" s="21"/>
      <c r="J58" s="16"/>
      <c r="K58" s="11">
        <f t="shared" si="0"/>
        <v>0</v>
      </c>
      <c r="M58" s="29"/>
      <c r="N58" s="29"/>
      <c r="O58" s="15"/>
    </row>
    <row r="59" spans="1:15" ht="15.75" customHeight="1" x14ac:dyDescent="0.25">
      <c r="A59" s="27"/>
      <c r="B59" s="16"/>
      <c r="C59" s="16"/>
      <c r="D59" s="16"/>
      <c r="E59" s="15"/>
      <c r="F59" s="15"/>
      <c r="G59" s="15"/>
      <c r="H59" s="15"/>
      <c r="I59" s="21"/>
      <c r="J59" s="16"/>
      <c r="K59" s="11">
        <f t="shared" si="0"/>
        <v>0</v>
      </c>
      <c r="M59" s="29"/>
      <c r="N59" s="29"/>
      <c r="O59" s="15"/>
    </row>
    <row r="60" spans="1:15" ht="15.75" customHeight="1" x14ac:dyDescent="0.25">
      <c r="A60" s="27"/>
      <c r="B60" s="16"/>
      <c r="C60" s="16"/>
      <c r="D60" s="16"/>
      <c r="E60" s="15"/>
      <c r="F60" s="15"/>
      <c r="G60" s="15"/>
      <c r="H60" s="15"/>
      <c r="I60" s="21"/>
      <c r="J60" s="16"/>
      <c r="K60" s="11">
        <f t="shared" si="0"/>
        <v>0</v>
      </c>
      <c r="M60" s="29"/>
      <c r="N60" s="29"/>
      <c r="O60" s="15"/>
    </row>
    <row r="61" spans="1:15" ht="15.75" customHeight="1" x14ac:dyDescent="0.25">
      <c r="A61" s="27"/>
      <c r="B61" s="16"/>
      <c r="C61" s="16"/>
      <c r="D61" s="16"/>
      <c r="E61" s="15"/>
      <c r="F61" s="15"/>
      <c r="G61" s="15"/>
      <c r="H61" s="15"/>
      <c r="I61" s="21"/>
      <c r="J61" s="16"/>
      <c r="K61" s="11">
        <f t="shared" si="0"/>
        <v>0</v>
      </c>
      <c r="M61" s="29"/>
      <c r="N61" s="29"/>
      <c r="O61" s="15"/>
    </row>
    <row r="62" spans="1:15" ht="15.75" customHeight="1" x14ac:dyDescent="0.25">
      <c r="A62" s="27"/>
      <c r="B62" s="16"/>
      <c r="C62" s="16"/>
      <c r="D62" s="16"/>
      <c r="E62" s="15"/>
      <c r="F62" s="15"/>
      <c r="G62" s="15"/>
      <c r="H62" s="15"/>
      <c r="I62" s="21"/>
      <c r="J62" s="16"/>
      <c r="K62" s="11">
        <f t="shared" si="0"/>
        <v>0</v>
      </c>
      <c r="M62" s="29"/>
      <c r="N62" s="29"/>
      <c r="O62" s="15"/>
    </row>
    <row r="63" spans="1:15" ht="15.75" customHeight="1" x14ac:dyDescent="0.25">
      <c r="A63" s="27"/>
      <c r="B63" s="16"/>
      <c r="C63" s="16"/>
      <c r="D63" s="16"/>
      <c r="E63" s="15"/>
      <c r="F63" s="15"/>
      <c r="G63" s="15"/>
      <c r="H63" s="15"/>
      <c r="I63" s="21"/>
      <c r="J63" s="16"/>
      <c r="K63" s="11">
        <f t="shared" si="0"/>
        <v>0</v>
      </c>
      <c r="M63" s="29"/>
      <c r="N63" s="29"/>
      <c r="O63" s="15"/>
    </row>
    <row r="64" spans="1:15" ht="15.75" customHeight="1" x14ac:dyDescent="0.25">
      <c r="A64" s="27"/>
      <c r="B64" s="16"/>
      <c r="C64" s="16"/>
      <c r="D64" s="16"/>
      <c r="E64" s="15"/>
      <c r="F64" s="15"/>
      <c r="G64" s="15"/>
      <c r="H64" s="15"/>
      <c r="I64" s="21"/>
      <c r="J64" s="16"/>
      <c r="K64" s="11">
        <f t="shared" si="0"/>
        <v>0</v>
      </c>
      <c r="M64" s="29"/>
      <c r="N64" s="29"/>
      <c r="O64" s="15"/>
    </row>
    <row r="65" spans="1:15" ht="15.75" customHeight="1" x14ac:dyDescent="0.25">
      <c r="A65" s="27"/>
      <c r="B65" s="16"/>
      <c r="C65" s="16"/>
      <c r="D65" s="16"/>
      <c r="E65" s="15"/>
      <c r="F65" s="15"/>
      <c r="G65" s="15"/>
      <c r="H65" s="15"/>
      <c r="I65" s="21"/>
      <c r="J65" s="16"/>
      <c r="K65" s="11">
        <f t="shared" si="0"/>
        <v>0</v>
      </c>
      <c r="M65" s="29"/>
      <c r="N65" s="29"/>
      <c r="O65" s="15"/>
    </row>
    <row r="66" spans="1:15" ht="15.75" customHeight="1" x14ac:dyDescent="0.25">
      <c r="A66" s="27"/>
      <c r="B66" s="16"/>
      <c r="C66" s="16"/>
      <c r="D66" s="16"/>
      <c r="E66" s="15"/>
      <c r="F66" s="15"/>
      <c r="G66" s="15"/>
      <c r="H66" s="15"/>
      <c r="I66" s="21"/>
      <c r="J66" s="16"/>
      <c r="K66" s="11">
        <f t="shared" si="0"/>
        <v>0</v>
      </c>
      <c r="M66" s="29"/>
      <c r="N66" s="29"/>
      <c r="O66" s="15"/>
    </row>
    <row r="67" spans="1:15" ht="15.75" customHeight="1" x14ac:dyDescent="0.25">
      <c r="A67" s="27"/>
      <c r="B67" s="16"/>
      <c r="C67" s="16"/>
      <c r="D67" s="16"/>
      <c r="E67" s="15"/>
      <c r="F67" s="15"/>
      <c r="G67" s="15"/>
      <c r="H67" s="15"/>
      <c r="I67" s="21"/>
      <c r="J67" s="16"/>
      <c r="K67" s="11">
        <f t="shared" si="0"/>
        <v>0</v>
      </c>
      <c r="M67" s="29"/>
      <c r="N67" s="29"/>
      <c r="O67" s="15"/>
    </row>
    <row r="68" spans="1:15" ht="15.75" customHeight="1" x14ac:dyDescent="0.25">
      <c r="A68" s="27"/>
      <c r="B68" s="16"/>
      <c r="C68" s="16"/>
      <c r="D68" s="16"/>
      <c r="E68" s="15"/>
      <c r="F68" s="15"/>
      <c r="G68" s="15"/>
      <c r="H68" s="15"/>
      <c r="I68" s="21"/>
      <c r="J68" s="16"/>
      <c r="K68" s="11">
        <f t="shared" si="0"/>
        <v>0</v>
      </c>
      <c r="M68" s="29"/>
      <c r="N68" s="29"/>
      <c r="O68" s="15"/>
    </row>
    <row r="69" spans="1:15" ht="15.75" customHeight="1" x14ac:dyDescent="0.25">
      <c r="A69" s="27"/>
      <c r="B69" s="16"/>
      <c r="C69" s="16"/>
      <c r="D69" s="16"/>
      <c r="E69" s="15"/>
      <c r="F69" s="15"/>
      <c r="G69" s="15"/>
      <c r="H69" s="15"/>
      <c r="I69" s="21"/>
      <c r="J69" s="16"/>
      <c r="K69" s="11">
        <f t="shared" si="0"/>
        <v>0</v>
      </c>
      <c r="M69" s="29"/>
      <c r="N69" s="29"/>
      <c r="O69" s="15"/>
    </row>
    <row r="70" spans="1:15" ht="15.75" customHeight="1" x14ac:dyDescent="0.25">
      <c r="A70" s="27"/>
      <c r="B70" s="16"/>
      <c r="C70" s="16"/>
      <c r="D70" s="16"/>
      <c r="E70" s="15"/>
      <c r="F70" s="15"/>
      <c r="G70" s="15"/>
      <c r="H70" s="15"/>
      <c r="I70" s="21"/>
      <c r="J70" s="16"/>
      <c r="K70" s="11">
        <f t="shared" si="0"/>
        <v>0</v>
      </c>
      <c r="M70" s="29"/>
      <c r="N70" s="29"/>
      <c r="O70" s="15"/>
    </row>
    <row r="71" spans="1:15" ht="15.75" customHeight="1" x14ac:dyDescent="0.25">
      <c r="A71" s="27"/>
      <c r="B71" s="16"/>
      <c r="C71" s="16"/>
      <c r="D71" s="16"/>
      <c r="E71" s="15"/>
      <c r="F71" s="15"/>
      <c r="G71" s="15"/>
      <c r="H71" s="15"/>
      <c r="I71" s="21"/>
      <c r="J71" s="16"/>
      <c r="K71" s="11">
        <f t="shared" si="0"/>
        <v>0</v>
      </c>
      <c r="M71" s="29"/>
      <c r="N71" s="29"/>
      <c r="O71" s="15"/>
    </row>
    <row r="72" spans="1:15" ht="15.75" customHeight="1" thickBot="1" x14ac:dyDescent="0.3">
      <c r="A72" s="28"/>
      <c r="B72" s="18"/>
      <c r="C72" s="18"/>
      <c r="D72" s="18"/>
      <c r="E72" s="17"/>
      <c r="F72" s="17"/>
      <c r="G72" s="17"/>
      <c r="H72" s="17"/>
      <c r="I72" s="22"/>
      <c r="J72" s="18"/>
      <c r="K72" s="11">
        <f t="shared" si="0"/>
        <v>0</v>
      </c>
      <c r="L72" s="8"/>
      <c r="M72" s="30"/>
      <c r="N72" s="30"/>
      <c r="O72" s="17"/>
    </row>
    <row r="73" spans="1:15" ht="15.75" customHeight="1" x14ac:dyDescent="0.25">
      <c r="J73" s="9" t="s">
        <v>8</v>
      </c>
      <c r="K73" s="10">
        <f>SUM(K8:K72)</f>
        <v>299.14</v>
      </c>
    </row>
    <row r="74" spans="1:15" ht="15.75" customHeight="1" x14ac:dyDescent="0.25">
      <c r="K74" s="2"/>
    </row>
    <row r="75" spans="1:15" ht="15.75" customHeight="1" x14ac:dyDescent="0.25">
      <c r="K75" s="2"/>
    </row>
    <row r="76" spans="1:15" ht="15.75" customHeight="1" x14ac:dyDescent="0.25">
      <c r="K76" s="2"/>
    </row>
    <row r="77" spans="1:15" ht="15.75" customHeight="1" x14ac:dyDescent="0.25">
      <c r="K77" s="2"/>
    </row>
    <row r="78" spans="1:15" ht="15.75" customHeight="1" x14ac:dyDescent="0.25">
      <c r="K78" s="2"/>
    </row>
    <row r="79" spans="1:15" ht="15.75" customHeight="1" x14ac:dyDescent="0.25">
      <c r="K79" s="2"/>
    </row>
    <row r="80" spans="1:15" ht="15.75" customHeight="1" x14ac:dyDescent="0.25">
      <c r="K80" s="2"/>
    </row>
    <row r="81" spans="11:11" ht="15.75" customHeight="1" x14ac:dyDescent="0.25">
      <c r="K81" s="2"/>
    </row>
    <row r="82" spans="11:11" ht="15.75" customHeight="1" x14ac:dyDescent="0.25">
      <c r="K82" s="2"/>
    </row>
    <row r="83" spans="11:11" ht="15.75" customHeight="1" x14ac:dyDescent="0.25">
      <c r="K83" s="2"/>
    </row>
    <row r="84" spans="11:11" ht="15.75" customHeight="1" x14ac:dyDescent="0.25">
      <c r="K84" s="2"/>
    </row>
    <row r="85" spans="11:11" ht="15.75" customHeight="1" x14ac:dyDescent="0.25">
      <c r="K85" s="2"/>
    </row>
    <row r="86" spans="11:11" ht="15.75" customHeight="1" x14ac:dyDescent="0.25">
      <c r="K86" s="2"/>
    </row>
    <row r="87" spans="11:11" ht="15.75" customHeight="1" x14ac:dyDescent="0.25">
      <c r="K87" s="2"/>
    </row>
    <row r="88" spans="11:11" ht="15.75" customHeight="1" x14ac:dyDescent="0.25">
      <c r="K88" s="2"/>
    </row>
    <row r="89" spans="11:11" ht="15.75" customHeight="1" x14ac:dyDescent="0.25">
      <c r="K89" s="2"/>
    </row>
    <row r="90" spans="11:11" ht="15.75" customHeight="1" x14ac:dyDescent="0.25">
      <c r="K90" s="2"/>
    </row>
    <row r="91" spans="11:11" ht="15.75" customHeight="1" x14ac:dyDescent="0.25">
      <c r="K91" s="2"/>
    </row>
    <row r="92" spans="11:11" ht="15.75" customHeight="1" x14ac:dyDescent="0.25">
      <c r="K92" s="2"/>
    </row>
    <row r="93" spans="11:11" ht="15.75" customHeight="1" x14ac:dyDescent="0.25">
      <c r="K93" s="2"/>
    </row>
    <row r="94" spans="11:11" ht="15.75" customHeight="1" x14ac:dyDescent="0.25">
      <c r="K94" s="2"/>
    </row>
    <row r="95" spans="11:11" ht="15.75" customHeight="1" x14ac:dyDescent="0.25">
      <c r="K95" s="2"/>
    </row>
    <row r="96" spans="11:11" ht="15.75" customHeight="1" x14ac:dyDescent="0.25">
      <c r="K96" s="2"/>
    </row>
    <row r="97" spans="11:11" ht="15.75" customHeight="1" x14ac:dyDescent="0.25">
      <c r="K97" s="2"/>
    </row>
  </sheetData>
  <sheetProtection insertRows="0" insertHyperlinks="0" deleteRows="0" selectLockedCells="1"/>
  <mergeCells count="4">
    <mergeCell ref="A6:K6"/>
    <mergeCell ref="M6:O6"/>
    <mergeCell ref="A2:B2"/>
    <mergeCell ref="C2:D4"/>
  </mergeCells>
  <conditionalFormatting sqref="A8:E8 G8:K8 M8:O72 F9:J9 E9:E13 C9:D17 A9:B25 K9:K72 G10:J13 E14:J14 E15:E17 G15:J17 C18:J25 A26:J72">
    <cfRule type="expression" dxfId="1" priority="1">
      <formula>$N8&lt;&gt;""</formula>
    </cfRule>
    <cfRule type="expression" dxfId="0" priority="2">
      <formula>$M8&lt;&gt;""</formula>
    </cfRule>
  </conditionalFormatting>
  <hyperlinks>
    <hyperlink ref="H12" r:id="rId1" xr:uid="{63FACD9A-FCB1-42FC-9638-F51D1BD5AD09}"/>
    <hyperlink ref="H8" r:id="rId2" xr:uid="{5B2D125E-EC47-4B62-868B-CEC8F51DAA72}"/>
    <hyperlink ref="H9" r:id="rId3" xr:uid="{93BD8B87-DB94-4386-BF6C-51DAB4798DDF}"/>
    <hyperlink ref="H10" r:id="rId4" xr:uid="{F31EED41-C4F4-41AF-8D3E-7C7227C45339}"/>
    <hyperlink ref="H11" r:id="rId5" xr:uid="{1C07469E-9160-41C3-A246-8D14665811EF}"/>
    <hyperlink ref="H13" r:id="rId6" xr:uid="{0FEE466C-7A6A-409A-AA72-503319A56C6D}"/>
    <hyperlink ref="H14" r:id="rId7" xr:uid="{D39602EB-5A38-4D55-A9FB-DC7CB699BC3E}"/>
    <hyperlink ref="H15" r:id="rId8" xr:uid="{334AD687-6464-45B8-BF62-84FAE778CF1D}"/>
    <hyperlink ref="H17" r:id="rId9" xr:uid="{D0FBC7F4-1FA9-41DF-A33C-5DC262A63BFF}"/>
    <hyperlink ref="H16" r:id="rId10" xr:uid="{A7F884E2-C62B-4A1F-8677-C8E919302274}"/>
  </hyperlinks>
  <pageMargins left="0.25" right="0.25" top="0.75" bottom="0.75" header="0.3" footer="0.3"/>
  <pageSetup scale="50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Omer Subasi</dc:creator>
  <cp:keywords/>
  <dc:description/>
  <cp:lastModifiedBy>Mead, Ben</cp:lastModifiedBy>
  <cp:revision/>
  <dcterms:created xsi:type="dcterms:W3CDTF">2015-09-29T14:11:29Z</dcterms:created>
  <dcterms:modified xsi:type="dcterms:W3CDTF">2026-04-01T01:36:58Z</dcterms:modified>
  <cp:category/>
  <cp:contentStatus/>
</cp:coreProperties>
</file>