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aleedu-my.sharepoint.com/personal/ben_mead_yale_edu/Documents/Projects/MENG2147CacheCAD/Motor_control/"/>
    </mc:Choice>
  </mc:AlternateContent>
  <xr:revisionPtr revIDLastSave="0" documentId="8_{9D57D22B-39ED-4C65-A53C-40E004E32422}" xr6:coauthVersionLast="47" xr6:coauthVersionMax="47" xr10:uidLastSave="{00000000-0000-0000-0000-000000000000}"/>
  <bookViews>
    <workbookView xWindow="-108" yWindow="-108" windowWidth="23256" windowHeight="13896" xr2:uid="{9BA6855F-D4B9-4523-B13E-796A028CD6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J3" i="1"/>
  <c r="J4" i="1"/>
  <c r="J5" i="1"/>
  <c r="J6" i="1"/>
  <c r="J7" i="1"/>
  <c r="J8" i="1"/>
  <c r="J9" i="1"/>
  <c r="J10" i="1"/>
  <c r="J2" i="1"/>
  <c r="I3" i="1"/>
  <c r="I4" i="1"/>
  <c r="I5" i="1"/>
  <c r="I6" i="1"/>
  <c r="I7" i="1"/>
  <c r="I8" i="1"/>
  <c r="I9" i="1"/>
  <c r="I10" i="1"/>
  <c r="I2" i="1"/>
  <c r="E2" i="1"/>
  <c r="E3" i="1"/>
  <c r="E4" i="1"/>
  <c r="E5" i="1"/>
  <c r="E6" i="1"/>
  <c r="G6" i="1" s="1"/>
  <c r="E7" i="1"/>
  <c r="G7" i="1" s="1"/>
  <c r="E8" i="1"/>
  <c r="G8" i="1" s="1"/>
  <c r="E9" i="1"/>
  <c r="E10" i="1"/>
  <c r="D3" i="1"/>
  <c r="D4" i="1"/>
  <c r="D5" i="1"/>
  <c r="D6" i="1"/>
  <c r="D7" i="1"/>
  <c r="F7" i="1" s="1"/>
  <c r="D8" i="1"/>
  <c r="F8" i="1" s="1"/>
  <c r="D9" i="1"/>
  <c r="F9" i="1" s="1"/>
  <c r="D10" i="1"/>
  <c r="G10" i="1" s="1"/>
  <c r="D2" i="1"/>
  <c r="G2" i="1" s="1"/>
  <c r="H9" i="1" l="1"/>
  <c r="H8" i="1"/>
  <c r="H7" i="1"/>
  <c r="F5" i="1"/>
  <c r="F4" i="1"/>
  <c r="F10" i="1"/>
  <c r="F6" i="1"/>
  <c r="F2" i="1"/>
  <c r="F3" i="1"/>
  <c r="G9" i="1"/>
  <c r="G5" i="1"/>
  <c r="G4" i="1"/>
  <c r="G3" i="1"/>
  <c r="H3" i="1" l="1"/>
  <c r="H2" i="1"/>
  <c r="H6" i="1"/>
  <c r="H10" i="1"/>
  <c r="H4" i="1"/>
  <c r="H5" i="1"/>
</calcChain>
</file>

<file path=xl/sharedStrings.xml><?xml version="1.0" encoding="utf-8"?>
<sst xmlns="http://schemas.openxmlformats.org/spreadsheetml/2006/main" count="19" uniqueCount="19">
  <si>
    <t>Throttle Input</t>
  </si>
  <si>
    <t>Steering Input</t>
  </si>
  <si>
    <t>Throttle Map</t>
  </si>
  <si>
    <t>Steering Map</t>
  </si>
  <si>
    <t>Left Motor</t>
  </si>
  <si>
    <t>Right Motor</t>
  </si>
  <si>
    <t>Left Command</t>
  </si>
  <si>
    <t>Right Command</t>
  </si>
  <si>
    <t>Left Constrained</t>
  </si>
  <si>
    <t>Right Constrained</t>
  </si>
  <si>
    <t>Left back</t>
  </si>
  <si>
    <t>Full back</t>
  </si>
  <si>
    <t>Right back</t>
  </si>
  <si>
    <t>Left turn</t>
  </si>
  <si>
    <t>Stop</t>
  </si>
  <si>
    <t>Right turn</t>
  </si>
  <si>
    <t>Right forward</t>
  </si>
  <si>
    <t>Full forward</t>
  </si>
  <si>
    <t>Left forward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</si>
</sst>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7C7EC-1F70-47A2-A4C8-6CA7E278F4C2}">
  <dimension ref="B1:L10"/>
  <sheetViews>
    <sheetView tabSelected="1" workbookViewId="0">
      <selection activeCell="O11" sqref="O11"/>
    </sheetView>
  </sheetViews>
  <sheetFormatPr defaultRowHeight="14.4" x14ac:dyDescent="0.3"/>
  <cols>
    <col min="2" max="2" width="11.44140625" bestFit="1" customWidth="1"/>
    <col min="3" max="3" width="11.88671875" bestFit="1" customWidth="1"/>
    <col min="4" max="4" width="10.88671875" hidden="1" customWidth="1"/>
    <col min="5" max="5" width="11.33203125" hidden="1" customWidth="1"/>
    <col min="6" max="6" width="0" hidden="1" customWidth="1"/>
    <col min="7" max="7" width="10" hidden="1" customWidth="1"/>
    <col min="8" max="8" width="14.21875" hidden="1" customWidth="1"/>
    <col min="9" max="9" width="15.21875" hidden="1" customWidth="1"/>
    <col min="10" max="10" width="12.6640625" bestFit="1" customWidth="1"/>
    <col min="11" max="11" width="13.77734375" bestFit="1" customWidth="1"/>
    <col min="12" max="12" width="11.5546875" bestFit="1" customWidth="1"/>
  </cols>
  <sheetData>
    <row r="1" spans="2:12" ht="15" thickBot="1" x14ac:dyDescent="0.35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8</v>
      </c>
      <c r="I1" s="2" t="s">
        <v>9</v>
      </c>
      <c r="J1" s="2" t="s">
        <v>6</v>
      </c>
      <c r="K1" s="3" t="s">
        <v>7</v>
      </c>
    </row>
    <row r="2" spans="2:12" x14ac:dyDescent="0.3">
      <c r="B2" s="4">
        <v>1000</v>
      </c>
      <c r="C2" s="5">
        <v>1000</v>
      </c>
      <c r="D2" s="5">
        <f>B2-1500</f>
        <v>-500</v>
      </c>
      <c r="E2" s="5">
        <f>C2-1500</f>
        <v>-500</v>
      </c>
      <c r="F2" s="5">
        <f>D2+E2</f>
        <v>-1000</v>
      </c>
      <c r="G2" s="5">
        <f>D2-E2</f>
        <v>0</v>
      </c>
      <c r="H2" s="5">
        <f>MAX(-500,MIN(500,F2))</f>
        <v>-500</v>
      </c>
      <c r="I2" s="5">
        <f>MAX(-500,MIN(500,G2))</f>
        <v>0</v>
      </c>
      <c r="J2" s="5">
        <f>H2+1500</f>
        <v>1000</v>
      </c>
      <c r="K2" s="6">
        <f>I2+1500</f>
        <v>1500</v>
      </c>
      <c r="L2" s="10" t="s">
        <v>10</v>
      </c>
    </row>
    <row r="3" spans="2:12" x14ac:dyDescent="0.3">
      <c r="B3" s="4">
        <v>1000</v>
      </c>
      <c r="C3" s="5">
        <v>1500</v>
      </c>
      <c r="D3" s="5">
        <f t="shared" ref="D3:E10" si="0">B3-1500</f>
        <v>-500</v>
      </c>
      <c r="E3" s="5">
        <f t="shared" si="0"/>
        <v>0</v>
      </c>
      <c r="F3" s="5">
        <f t="shared" ref="F3:F10" si="1">D3+E3</f>
        <v>-500</v>
      </c>
      <c r="G3" s="5">
        <f t="shared" ref="G3:G10" si="2">D3-E3</f>
        <v>-500</v>
      </c>
      <c r="H3" s="5">
        <f t="shared" ref="H3:H10" si="3">MAX(-500,MIN(500,F3))</f>
        <v>-500</v>
      </c>
      <c r="I3" s="5">
        <f t="shared" ref="I3:I10" si="4">MAX(-500,MIN(500,G3))</f>
        <v>-500</v>
      </c>
      <c r="J3" s="5">
        <f t="shared" ref="J3:K10" si="5">H3+1500</f>
        <v>1000</v>
      </c>
      <c r="K3" s="6">
        <f t="shared" si="5"/>
        <v>1000</v>
      </c>
      <c r="L3" s="11" t="s">
        <v>11</v>
      </c>
    </row>
    <row r="4" spans="2:12" x14ac:dyDescent="0.3">
      <c r="B4" s="4">
        <v>1000</v>
      </c>
      <c r="C4" s="5">
        <v>2000</v>
      </c>
      <c r="D4" s="5">
        <f t="shared" si="0"/>
        <v>-500</v>
      </c>
      <c r="E4" s="5">
        <f t="shared" si="0"/>
        <v>500</v>
      </c>
      <c r="F4" s="5">
        <f t="shared" si="1"/>
        <v>0</v>
      </c>
      <c r="G4" s="5">
        <f t="shared" si="2"/>
        <v>-1000</v>
      </c>
      <c r="H4" s="5">
        <f t="shared" si="3"/>
        <v>0</v>
      </c>
      <c r="I4" s="5">
        <f t="shared" si="4"/>
        <v>-500</v>
      </c>
      <c r="J4" s="5">
        <f t="shared" si="5"/>
        <v>1500</v>
      </c>
      <c r="K4" s="6">
        <f t="shared" si="5"/>
        <v>1000</v>
      </c>
      <c r="L4" s="11" t="s">
        <v>12</v>
      </c>
    </row>
    <row r="5" spans="2:12" x14ac:dyDescent="0.3">
      <c r="B5" s="4">
        <v>1500</v>
      </c>
      <c r="C5" s="5">
        <v>1000</v>
      </c>
      <c r="D5" s="5">
        <f t="shared" si="0"/>
        <v>0</v>
      </c>
      <c r="E5" s="5">
        <f t="shared" si="0"/>
        <v>-500</v>
      </c>
      <c r="F5" s="5">
        <f t="shared" si="1"/>
        <v>-500</v>
      </c>
      <c r="G5" s="5">
        <f t="shared" si="2"/>
        <v>500</v>
      </c>
      <c r="H5" s="5">
        <f t="shared" si="3"/>
        <v>-500</v>
      </c>
      <c r="I5" s="5">
        <f t="shared" si="4"/>
        <v>500</v>
      </c>
      <c r="J5" s="5">
        <f t="shared" si="5"/>
        <v>1000</v>
      </c>
      <c r="K5" s="6">
        <f t="shared" si="5"/>
        <v>2000</v>
      </c>
      <c r="L5" s="11" t="s">
        <v>13</v>
      </c>
    </row>
    <row r="6" spans="2:12" x14ac:dyDescent="0.3">
      <c r="B6" s="4">
        <v>1500</v>
      </c>
      <c r="C6" s="5">
        <v>1500</v>
      </c>
      <c r="D6" s="5">
        <f t="shared" si="0"/>
        <v>0</v>
      </c>
      <c r="E6" s="5">
        <f t="shared" si="0"/>
        <v>0</v>
      </c>
      <c r="F6" s="5">
        <f t="shared" si="1"/>
        <v>0</v>
      </c>
      <c r="G6" s="5">
        <f t="shared" si="2"/>
        <v>0</v>
      </c>
      <c r="H6" s="5">
        <f t="shared" si="3"/>
        <v>0</v>
      </c>
      <c r="I6" s="5">
        <f t="shared" si="4"/>
        <v>0</v>
      </c>
      <c r="J6" s="5">
        <f t="shared" si="5"/>
        <v>1500</v>
      </c>
      <c r="K6" s="6">
        <f t="shared" si="5"/>
        <v>1500</v>
      </c>
      <c r="L6" s="11" t="s">
        <v>14</v>
      </c>
    </row>
    <row r="7" spans="2:12" x14ac:dyDescent="0.3">
      <c r="B7" s="4">
        <v>1500</v>
      </c>
      <c r="C7" s="5">
        <v>2000</v>
      </c>
      <c r="D7" s="5">
        <f t="shared" si="0"/>
        <v>0</v>
      </c>
      <c r="E7" s="5">
        <f t="shared" si="0"/>
        <v>500</v>
      </c>
      <c r="F7" s="5">
        <f t="shared" si="1"/>
        <v>500</v>
      </c>
      <c r="G7" s="5">
        <f t="shared" si="2"/>
        <v>-500</v>
      </c>
      <c r="H7" s="5">
        <f t="shared" si="3"/>
        <v>500</v>
      </c>
      <c r="I7" s="5">
        <f t="shared" si="4"/>
        <v>-500</v>
      </c>
      <c r="J7" s="5">
        <f t="shared" si="5"/>
        <v>2000</v>
      </c>
      <c r="K7" s="6">
        <f t="shared" si="5"/>
        <v>1000</v>
      </c>
      <c r="L7" s="11" t="s">
        <v>15</v>
      </c>
    </row>
    <row r="8" spans="2:12" x14ac:dyDescent="0.3">
      <c r="B8" s="4">
        <v>2000</v>
      </c>
      <c r="C8" s="5">
        <v>1000</v>
      </c>
      <c r="D8" s="5">
        <f t="shared" si="0"/>
        <v>500</v>
      </c>
      <c r="E8" s="5">
        <f t="shared" si="0"/>
        <v>-500</v>
      </c>
      <c r="F8" s="5">
        <f t="shared" si="1"/>
        <v>0</v>
      </c>
      <c r="G8" s="5">
        <f t="shared" si="2"/>
        <v>1000</v>
      </c>
      <c r="H8" s="5">
        <f t="shared" si="3"/>
        <v>0</v>
      </c>
      <c r="I8" s="5">
        <f t="shared" si="4"/>
        <v>500</v>
      </c>
      <c r="J8" s="5">
        <f t="shared" si="5"/>
        <v>1500</v>
      </c>
      <c r="K8" s="6">
        <f t="shared" si="5"/>
        <v>2000</v>
      </c>
      <c r="L8" s="11" t="s">
        <v>16</v>
      </c>
    </row>
    <row r="9" spans="2:12" x14ac:dyDescent="0.3">
      <c r="B9" s="4">
        <v>2000</v>
      </c>
      <c r="C9" s="5">
        <v>1500</v>
      </c>
      <c r="D9" s="5">
        <f t="shared" si="0"/>
        <v>500</v>
      </c>
      <c r="E9" s="5">
        <f t="shared" si="0"/>
        <v>0</v>
      </c>
      <c r="F9" s="5">
        <f t="shared" si="1"/>
        <v>500</v>
      </c>
      <c r="G9" s="5">
        <f t="shared" si="2"/>
        <v>500</v>
      </c>
      <c r="H9" s="5">
        <f t="shared" si="3"/>
        <v>500</v>
      </c>
      <c r="I9" s="5">
        <f t="shared" si="4"/>
        <v>500</v>
      </c>
      <c r="J9" s="5">
        <f t="shared" si="5"/>
        <v>2000</v>
      </c>
      <c r="K9" s="6">
        <f t="shared" si="5"/>
        <v>2000</v>
      </c>
      <c r="L9" s="11" t="s">
        <v>17</v>
      </c>
    </row>
    <row r="10" spans="2:12" ht="15" thickBot="1" x14ac:dyDescent="0.35">
      <c r="B10" s="7">
        <v>2000</v>
      </c>
      <c r="C10" s="8">
        <v>2000</v>
      </c>
      <c r="D10" s="8">
        <f t="shared" si="0"/>
        <v>500</v>
      </c>
      <c r="E10" s="8">
        <f t="shared" si="0"/>
        <v>500</v>
      </c>
      <c r="F10" s="8">
        <f t="shared" si="1"/>
        <v>1000</v>
      </c>
      <c r="G10" s="8">
        <f t="shared" si="2"/>
        <v>0</v>
      </c>
      <c r="H10" s="8">
        <f t="shared" si="3"/>
        <v>500</v>
      </c>
      <c r="I10" s="8">
        <f t="shared" si="4"/>
        <v>0</v>
      </c>
      <c r="J10" s="8">
        <f t="shared" si="5"/>
        <v>2000</v>
      </c>
      <c r="K10" s="9">
        <f t="shared" si="5"/>
        <v>1500</v>
      </c>
      <c r="L10" s="12" t="s">
        <v>18</v>
      </c>
    </row>
  </sheetData>
  <dataValidations count="1">
    <dataValidation type="whole" allowBlank="1" showInputMessage="1" showErrorMessage="1" sqref="F2:I10" xr:uid="{A422A038-B26D-424D-877C-2471F904A092}">
      <formula1>-500</formula1>
      <formula2>500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Mead, Ben</dc:creator>
  <cp:lastModifiedBy>Mead, Ben</cp:lastModifiedBy>
  <dcterms:created xsi:type="dcterms:W3CDTF">2026-04-27T15:59:22Z</dcterms:created>
  <dcterms:modified xsi:type="dcterms:W3CDTF">2026-04-27T17:33:47Z</dcterms:modified>
</cp:coreProperties>
</file>